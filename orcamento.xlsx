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pgolfe.sharepoint.com/sites/FP_Cloud/Trabalho/FPG_SP/Financeiro/Gestão Financeira/FPG_ Orçamento/2026/OBH/0. ORÇAMENTO 2026 Consolidado/"/>
    </mc:Choice>
  </mc:AlternateContent>
  <xr:revisionPtr revIDLastSave="1" documentId="8_{E61C496C-4308-4F63-841E-B57A2FCDAC6B}" xr6:coauthVersionLast="47" xr6:coauthVersionMax="47" xr10:uidLastSave="{E3E91F21-B461-4882-BB0C-9D294A970F33}"/>
  <bookViews>
    <workbookView xWindow="28680" yWindow="-120" windowWidth="29040" windowHeight="15720" xr2:uid="{18116DE3-79DA-495A-8B9A-5DFC8F4F8F1A}"/>
  </bookViews>
  <sheets>
    <sheet name="ENTIDADE" sheetId="1" r:id="rId1"/>
  </sheets>
  <externalReferences>
    <externalReference r:id="rId2"/>
  </externalReferences>
  <definedNames>
    <definedName name="_xlnm._FilterDatabase" localSheetId="0" hidden="1">ENTIDADE!$B$2:$D$384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5" i="1" l="1"/>
  <c r="Q390" i="1"/>
  <c r="N390" i="1"/>
  <c r="M390" i="1"/>
  <c r="L390" i="1"/>
  <c r="Q386" i="1"/>
  <c r="P386" i="1"/>
  <c r="P390" i="1" s="1"/>
  <c r="O386" i="1"/>
  <c r="O390" i="1" s="1"/>
  <c r="N386" i="1"/>
  <c r="M386" i="1"/>
  <c r="L386" i="1"/>
  <c r="K386" i="1"/>
  <c r="K390" i="1" s="1"/>
  <c r="J386" i="1"/>
  <c r="J390" i="1" s="1"/>
  <c r="I386" i="1"/>
  <c r="I390" i="1" s="1"/>
  <c r="H386" i="1"/>
  <c r="H390" i="1" s="1"/>
  <c r="G386" i="1"/>
  <c r="G390" i="1" s="1"/>
  <c r="F386" i="1"/>
  <c r="F390" i="1" s="1"/>
  <c r="Q384" i="1"/>
  <c r="P384" i="1"/>
  <c r="O384" i="1"/>
  <c r="N384" i="1"/>
  <c r="M384" i="1"/>
  <c r="L384" i="1"/>
  <c r="K384" i="1"/>
  <c r="J384" i="1"/>
  <c r="I384" i="1"/>
  <c r="H384" i="1"/>
  <c r="G384" i="1"/>
  <c r="F384" i="1"/>
  <c r="Q383" i="1"/>
  <c r="P383" i="1"/>
  <c r="O383" i="1"/>
  <c r="N383" i="1"/>
  <c r="M383" i="1"/>
  <c r="L383" i="1"/>
  <c r="K383" i="1"/>
  <c r="J383" i="1"/>
  <c r="J381" i="1" s="1"/>
  <c r="I383" i="1"/>
  <c r="H383" i="1"/>
  <c r="H381" i="1" s="1"/>
  <c r="G383" i="1"/>
  <c r="F383" i="1"/>
  <c r="Q382" i="1"/>
  <c r="Q381" i="1" s="1"/>
  <c r="P382" i="1"/>
  <c r="P381" i="1" s="1"/>
  <c r="O382" i="1"/>
  <c r="N382" i="1"/>
  <c r="M382" i="1"/>
  <c r="L382" i="1"/>
  <c r="K382" i="1"/>
  <c r="J382" i="1"/>
  <c r="I382" i="1"/>
  <c r="H382" i="1"/>
  <c r="G382" i="1"/>
  <c r="G381" i="1" s="1"/>
  <c r="F382" i="1"/>
  <c r="F381" i="1" s="1"/>
  <c r="Q380" i="1"/>
  <c r="P380" i="1"/>
  <c r="O380" i="1"/>
  <c r="N380" i="1"/>
  <c r="M380" i="1"/>
  <c r="L380" i="1"/>
  <c r="K380" i="1"/>
  <c r="J380" i="1"/>
  <c r="I380" i="1"/>
  <c r="H380" i="1"/>
  <c r="G380" i="1"/>
  <c r="F380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L347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S333" i="1" s="1"/>
  <c r="Q332" i="1"/>
  <c r="P332" i="1"/>
  <c r="O332" i="1"/>
  <c r="N332" i="1"/>
  <c r="M332" i="1"/>
  <c r="L332" i="1"/>
  <c r="K332" i="1"/>
  <c r="J332" i="1"/>
  <c r="I332" i="1"/>
  <c r="H332" i="1"/>
  <c r="G332" i="1"/>
  <c r="F332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Q323" i="1"/>
  <c r="P323" i="1"/>
  <c r="O323" i="1"/>
  <c r="N323" i="1"/>
  <c r="N321" i="1" s="1"/>
  <c r="M323" i="1"/>
  <c r="L323" i="1"/>
  <c r="K323" i="1"/>
  <c r="J323" i="1"/>
  <c r="I323" i="1"/>
  <c r="H323" i="1"/>
  <c r="G323" i="1"/>
  <c r="F323" i="1"/>
  <c r="Q322" i="1"/>
  <c r="P322" i="1"/>
  <c r="O322" i="1"/>
  <c r="N322" i="1"/>
  <c r="M322" i="1"/>
  <c r="M321" i="1" s="1"/>
  <c r="L322" i="1"/>
  <c r="L321" i="1" s="1"/>
  <c r="K322" i="1"/>
  <c r="K321" i="1" s="1"/>
  <c r="J322" i="1"/>
  <c r="J321" i="1" s="1"/>
  <c r="I322" i="1"/>
  <c r="H322" i="1"/>
  <c r="H321" i="1" s="1"/>
  <c r="G322" i="1"/>
  <c r="G321" i="1" s="1"/>
  <c r="F322" i="1"/>
  <c r="F321" i="1" s="1"/>
  <c r="Q320" i="1"/>
  <c r="P320" i="1"/>
  <c r="O320" i="1"/>
  <c r="N320" i="1"/>
  <c r="M320" i="1"/>
  <c r="L320" i="1"/>
  <c r="K320" i="1"/>
  <c r="J320" i="1"/>
  <c r="I320" i="1"/>
  <c r="H320" i="1"/>
  <c r="G320" i="1"/>
  <c r="F320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Q315" i="1"/>
  <c r="P315" i="1"/>
  <c r="O315" i="1"/>
  <c r="N315" i="1"/>
  <c r="N314" i="1" s="1"/>
  <c r="M315" i="1"/>
  <c r="L315" i="1"/>
  <c r="K315" i="1"/>
  <c r="J315" i="1"/>
  <c r="I315" i="1"/>
  <c r="H315" i="1"/>
  <c r="G315" i="1"/>
  <c r="F315" i="1"/>
  <c r="Q314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Q300" i="1"/>
  <c r="P300" i="1"/>
  <c r="O300" i="1"/>
  <c r="N300" i="1"/>
  <c r="M300" i="1"/>
  <c r="M299" i="1" s="1"/>
  <c r="L300" i="1"/>
  <c r="L299" i="1" s="1"/>
  <c r="K300" i="1"/>
  <c r="J300" i="1"/>
  <c r="I300" i="1"/>
  <c r="H300" i="1"/>
  <c r="G300" i="1"/>
  <c r="F300" i="1"/>
  <c r="Q298" i="1"/>
  <c r="Q297" i="1" s="1"/>
  <c r="P298" i="1"/>
  <c r="P297" i="1" s="1"/>
  <c r="O298" i="1"/>
  <c r="O297" i="1" s="1"/>
  <c r="N298" i="1"/>
  <c r="N297" i="1" s="1"/>
  <c r="M298" i="1"/>
  <c r="M297" i="1" s="1"/>
  <c r="L298" i="1"/>
  <c r="L297" i="1" s="1"/>
  <c r="K298" i="1"/>
  <c r="K297" i="1" s="1"/>
  <c r="J298" i="1"/>
  <c r="J297" i="1" s="1"/>
  <c r="I298" i="1"/>
  <c r="I297" i="1" s="1"/>
  <c r="H298" i="1"/>
  <c r="H297" i="1" s="1"/>
  <c r="G298" i="1"/>
  <c r="G297" i="1" s="1"/>
  <c r="F298" i="1"/>
  <c r="F297" i="1" s="1"/>
  <c r="Q296" i="1"/>
  <c r="P296" i="1"/>
  <c r="O296" i="1"/>
  <c r="N296" i="1"/>
  <c r="M296" i="1"/>
  <c r="L296" i="1"/>
  <c r="K296" i="1"/>
  <c r="J296" i="1"/>
  <c r="I296" i="1"/>
  <c r="H296" i="1"/>
  <c r="G296" i="1"/>
  <c r="F296" i="1"/>
  <c r="S296" i="1" s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Q283" i="1"/>
  <c r="P283" i="1"/>
  <c r="O283" i="1"/>
  <c r="N283" i="1"/>
  <c r="M283" i="1"/>
  <c r="L283" i="1"/>
  <c r="K283" i="1"/>
  <c r="J283" i="1"/>
  <c r="J278" i="1" s="1"/>
  <c r="I283" i="1"/>
  <c r="H283" i="1"/>
  <c r="G283" i="1"/>
  <c r="F283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Q280" i="1"/>
  <c r="P280" i="1"/>
  <c r="P278" i="1" s="1"/>
  <c r="O280" i="1"/>
  <c r="O278" i="1" s="1"/>
  <c r="N280" i="1"/>
  <c r="M280" i="1"/>
  <c r="L280" i="1"/>
  <c r="K280" i="1"/>
  <c r="J280" i="1"/>
  <c r="I280" i="1"/>
  <c r="H280" i="1"/>
  <c r="G280" i="1"/>
  <c r="F280" i="1"/>
  <c r="Q279" i="1"/>
  <c r="Q278" i="1" s="1"/>
  <c r="P279" i="1"/>
  <c r="O279" i="1"/>
  <c r="N279" i="1"/>
  <c r="M279" i="1"/>
  <c r="L279" i="1"/>
  <c r="K279" i="1"/>
  <c r="J279" i="1"/>
  <c r="I279" i="1"/>
  <c r="H279" i="1"/>
  <c r="H278" i="1" s="1"/>
  <c r="G279" i="1"/>
  <c r="F279" i="1"/>
  <c r="K278" i="1"/>
  <c r="Q277" i="1"/>
  <c r="P277" i="1"/>
  <c r="P274" i="1" s="1"/>
  <c r="O277" i="1"/>
  <c r="N277" i="1"/>
  <c r="M277" i="1"/>
  <c r="L277" i="1"/>
  <c r="K277" i="1"/>
  <c r="J277" i="1"/>
  <c r="I277" i="1"/>
  <c r="H277" i="1"/>
  <c r="G277" i="1"/>
  <c r="F277" i="1"/>
  <c r="Q276" i="1"/>
  <c r="Q274" i="1" s="1"/>
  <c r="P276" i="1"/>
  <c r="O276" i="1"/>
  <c r="O274" i="1" s="1"/>
  <c r="N276" i="1"/>
  <c r="M276" i="1"/>
  <c r="L276" i="1"/>
  <c r="K276" i="1"/>
  <c r="K274" i="1" s="1"/>
  <c r="J276" i="1"/>
  <c r="I276" i="1"/>
  <c r="H276" i="1"/>
  <c r="G276" i="1"/>
  <c r="F276" i="1"/>
  <c r="Q275" i="1"/>
  <c r="P275" i="1"/>
  <c r="O275" i="1"/>
  <c r="N275" i="1"/>
  <c r="M275" i="1"/>
  <c r="L275" i="1"/>
  <c r="K275" i="1"/>
  <c r="J275" i="1"/>
  <c r="I275" i="1"/>
  <c r="H275" i="1"/>
  <c r="G275" i="1"/>
  <c r="G274" i="1" s="1"/>
  <c r="F275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Q271" i="1"/>
  <c r="P271" i="1"/>
  <c r="O271" i="1"/>
  <c r="N271" i="1"/>
  <c r="M271" i="1"/>
  <c r="L271" i="1"/>
  <c r="K271" i="1"/>
  <c r="J271" i="1"/>
  <c r="J268" i="1" s="1"/>
  <c r="I271" i="1"/>
  <c r="H271" i="1"/>
  <c r="G271" i="1"/>
  <c r="F271" i="1"/>
  <c r="Q270" i="1"/>
  <c r="P270" i="1"/>
  <c r="O270" i="1"/>
  <c r="N270" i="1"/>
  <c r="M270" i="1"/>
  <c r="L270" i="1"/>
  <c r="L268" i="1" s="1"/>
  <c r="K270" i="1"/>
  <c r="J270" i="1"/>
  <c r="I270" i="1"/>
  <c r="H270" i="1"/>
  <c r="G270" i="1"/>
  <c r="F270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I268" i="1"/>
  <c r="H268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Q247" i="1"/>
  <c r="Q245" i="1" s="1"/>
  <c r="P247" i="1"/>
  <c r="O247" i="1"/>
  <c r="N247" i="1"/>
  <c r="M247" i="1"/>
  <c r="M245" i="1" s="1"/>
  <c r="L247" i="1"/>
  <c r="L245" i="1" s="1"/>
  <c r="K247" i="1"/>
  <c r="J247" i="1"/>
  <c r="I247" i="1"/>
  <c r="H247" i="1"/>
  <c r="G247" i="1"/>
  <c r="G245" i="1" s="1"/>
  <c r="F247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Q239" i="1"/>
  <c r="P239" i="1"/>
  <c r="O239" i="1"/>
  <c r="N239" i="1"/>
  <c r="M239" i="1"/>
  <c r="M237" i="1" s="1"/>
  <c r="L239" i="1"/>
  <c r="L237" i="1" s="1"/>
  <c r="K239" i="1"/>
  <c r="J239" i="1"/>
  <c r="I239" i="1"/>
  <c r="H239" i="1"/>
  <c r="G239" i="1"/>
  <c r="F239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Q237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Q202" i="1"/>
  <c r="P202" i="1"/>
  <c r="O202" i="1"/>
  <c r="N202" i="1"/>
  <c r="M202" i="1"/>
  <c r="L202" i="1"/>
  <c r="L200" i="1" s="1"/>
  <c r="K202" i="1"/>
  <c r="J202" i="1"/>
  <c r="I202" i="1"/>
  <c r="H202" i="1"/>
  <c r="G202" i="1"/>
  <c r="F202" i="1"/>
  <c r="Q201" i="1"/>
  <c r="P201" i="1"/>
  <c r="O201" i="1"/>
  <c r="O200" i="1" s="1"/>
  <c r="N201" i="1"/>
  <c r="M201" i="1"/>
  <c r="L201" i="1"/>
  <c r="K201" i="1"/>
  <c r="J201" i="1"/>
  <c r="J200" i="1" s="1"/>
  <c r="I201" i="1"/>
  <c r="I200" i="1" s="1"/>
  <c r="H201" i="1"/>
  <c r="G201" i="1"/>
  <c r="F201" i="1"/>
  <c r="K200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O175" i="1" s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S171" i="1" s="1"/>
  <c r="Q170" i="1"/>
  <c r="P170" i="1"/>
  <c r="O170" i="1"/>
  <c r="N170" i="1"/>
  <c r="M170" i="1"/>
  <c r="L170" i="1"/>
  <c r="K170" i="1"/>
  <c r="J170" i="1"/>
  <c r="I170" i="1"/>
  <c r="H170" i="1"/>
  <c r="G170" i="1"/>
  <c r="F170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S168" i="1" s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S166" i="1" s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S163" i="1" s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S161" i="1" s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S153" i="1" s="1"/>
  <c r="Q152" i="1"/>
  <c r="P152" i="1"/>
  <c r="O152" i="1"/>
  <c r="N152" i="1"/>
  <c r="M152" i="1"/>
  <c r="L152" i="1"/>
  <c r="K152" i="1"/>
  <c r="J152" i="1"/>
  <c r="I152" i="1"/>
  <c r="H152" i="1"/>
  <c r="G152" i="1"/>
  <c r="F152" i="1"/>
  <c r="Q151" i="1"/>
  <c r="P151" i="1"/>
  <c r="O151" i="1"/>
  <c r="N151" i="1"/>
  <c r="M151" i="1"/>
  <c r="L151" i="1"/>
  <c r="K151" i="1"/>
  <c r="J151" i="1"/>
  <c r="I151" i="1"/>
  <c r="H151" i="1"/>
  <c r="G151" i="1"/>
  <c r="G149" i="1" s="1"/>
  <c r="F151" i="1"/>
  <c r="S151" i="1" s="1"/>
  <c r="V151" i="1" s="1"/>
  <c r="R150" i="1"/>
  <c r="Q150" i="1"/>
  <c r="P150" i="1"/>
  <c r="O150" i="1"/>
  <c r="N150" i="1"/>
  <c r="M150" i="1"/>
  <c r="L150" i="1"/>
  <c r="K150" i="1"/>
  <c r="J150" i="1"/>
  <c r="I150" i="1"/>
  <c r="H150" i="1"/>
  <c r="H149" i="1" s="1"/>
  <c r="G150" i="1"/>
  <c r="F150" i="1"/>
  <c r="Q148" i="1"/>
  <c r="P148" i="1"/>
  <c r="O148" i="1"/>
  <c r="N148" i="1"/>
  <c r="M148" i="1"/>
  <c r="M146" i="1" s="1"/>
  <c r="L148" i="1"/>
  <c r="K148" i="1"/>
  <c r="J148" i="1"/>
  <c r="I148" i="1"/>
  <c r="H148" i="1"/>
  <c r="G148" i="1"/>
  <c r="F148" i="1"/>
  <c r="Q147" i="1"/>
  <c r="P147" i="1"/>
  <c r="O147" i="1"/>
  <c r="O146" i="1" s="1"/>
  <c r="N147" i="1"/>
  <c r="N146" i="1" s="1"/>
  <c r="M147" i="1"/>
  <c r="L147" i="1"/>
  <c r="K147" i="1"/>
  <c r="K146" i="1" s="1"/>
  <c r="J147" i="1"/>
  <c r="J146" i="1" s="1"/>
  <c r="I147" i="1"/>
  <c r="H147" i="1"/>
  <c r="H146" i="1" s="1"/>
  <c r="G147" i="1"/>
  <c r="G146" i="1" s="1"/>
  <c r="F147" i="1"/>
  <c r="F146" i="1" s="1"/>
  <c r="Q146" i="1"/>
  <c r="P146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Q99" i="1"/>
  <c r="P99" i="1"/>
  <c r="O99" i="1"/>
  <c r="N99" i="1"/>
  <c r="M99" i="1"/>
  <c r="L99" i="1"/>
  <c r="K99" i="1"/>
  <c r="J99" i="1"/>
  <c r="I99" i="1"/>
  <c r="H99" i="1"/>
  <c r="G99" i="1"/>
  <c r="F99" i="1"/>
  <c r="Q98" i="1"/>
  <c r="P98" i="1"/>
  <c r="O98" i="1"/>
  <c r="N98" i="1"/>
  <c r="M98" i="1"/>
  <c r="L98" i="1"/>
  <c r="K98" i="1"/>
  <c r="J98" i="1"/>
  <c r="I98" i="1"/>
  <c r="H98" i="1"/>
  <c r="G98" i="1"/>
  <c r="F98" i="1"/>
  <c r="Q97" i="1"/>
  <c r="P97" i="1"/>
  <c r="O97" i="1"/>
  <c r="N97" i="1"/>
  <c r="M97" i="1"/>
  <c r="L97" i="1"/>
  <c r="K97" i="1"/>
  <c r="J97" i="1"/>
  <c r="I97" i="1"/>
  <c r="H97" i="1"/>
  <c r="G97" i="1"/>
  <c r="F97" i="1"/>
  <c r="Q96" i="1"/>
  <c r="P96" i="1"/>
  <c r="O96" i="1"/>
  <c r="N96" i="1"/>
  <c r="M96" i="1"/>
  <c r="L96" i="1"/>
  <c r="K96" i="1"/>
  <c r="J96" i="1"/>
  <c r="I96" i="1"/>
  <c r="H96" i="1"/>
  <c r="G96" i="1"/>
  <c r="F96" i="1"/>
  <c r="Q95" i="1"/>
  <c r="P95" i="1"/>
  <c r="O95" i="1"/>
  <c r="N95" i="1"/>
  <c r="M95" i="1"/>
  <c r="L95" i="1"/>
  <c r="K95" i="1"/>
  <c r="J95" i="1"/>
  <c r="I95" i="1"/>
  <c r="H95" i="1"/>
  <c r="G95" i="1"/>
  <c r="F95" i="1"/>
  <c r="Q94" i="1"/>
  <c r="P94" i="1"/>
  <c r="O94" i="1"/>
  <c r="N94" i="1"/>
  <c r="M94" i="1"/>
  <c r="L94" i="1"/>
  <c r="K94" i="1"/>
  <c r="J94" i="1"/>
  <c r="I94" i="1"/>
  <c r="H94" i="1"/>
  <c r="G94" i="1"/>
  <c r="F94" i="1"/>
  <c r="S94" i="1" s="1"/>
  <c r="V94" i="1" s="1"/>
  <c r="Q92" i="1"/>
  <c r="P92" i="1"/>
  <c r="O92" i="1"/>
  <c r="N92" i="1"/>
  <c r="M92" i="1"/>
  <c r="L92" i="1"/>
  <c r="K92" i="1"/>
  <c r="J92" i="1"/>
  <c r="I92" i="1"/>
  <c r="H92" i="1"/>
  <c r="G92" i="1"/>
  <c r="F92" i="1"/>
  <c r="Q91" i="1"/>
  <c r="P91" i="1"/>
  <c r="O91" i="1"/>
  <c r="N91" i="1"/>
  <c r="M91" i="1"/>
  <c r="L91" i="1"/>
  <c r="K91" i="1"/>
  <c r="J91" i="1"/>
  <c r="I91" i="1"/>
  <c r="H91" i="1"/>
  <c r="G91" i="1"/>
  <c r="F91" i="1"/>
  <c r="Q90" i="1"/>
  <c r="P90" i="1"/>
  <c r="O90" i="1"/>
  <c r="N90" i="1"/>
  <c r="M90" i="1"/>
  <c r="L90" i="1"/>
  <c r="K90" i="1"/>
  <c r="J90" i="1"/>
  <c r="I90" i="1"/>
  <c r="H90" i="1"/>
  <c r="G90" i="1"/>
  <c r="F90" i="1"/>
  <c r="Q89" i="1"/>
  <c r="P89" i="1"/>
  <c r="O89" i="1"/>
  <c r="N89" i="1"/>
  <c r="M89" i="1"/>
  <c r="L89" i="1"/>
  <c r="K89" i="1"/>
  <c r="J89" i="1"/>
  <c r="I89" i="1"/>
  <c r="H89" i="1"/>
  <c r="G89" i="1"/>
  <c r="F89" i="1"/>
  <c r="Q88" i="1"/>
  <c r="P88" i="1"/>
  <c r="O88" i="1"/>
  <c r="N88" i="1"/>
  <c r="M88" i="1"/>
  <c r="L88" i="1"/>
  <c r="K88" i="1"/>
  <c r="J88" i="1"/>
  <c r="I88" i="1"/>
  <c r="H88" i="1"/>
  <c r="G88" i="1"/>
  <c r="F88" i="1"/>
  <c r="Q87" i="1"/>
  <c r="P87" i="1"/>
  <c r="O87" i="1"/>
  <c r="N87" i="1"/>
  <c r="M87" i="1"/>
  <c r="L87" i="1"/>
  <c r="K87" i="1"/>
  <c r="J87" i="1"/>
  <c r="I87" i="1"/>
  <c r="H87" i="1"/>
  <c r="G87" i="1"/>
  <c r="F87" i="1"/>
  <c r="Q86" i="1"/>
  <c r="P86" i="1"/>
  <c r="O86" i="1"/>
  <c r="N86" i="1"/>
  <c r="M86" i="1"/>
  <c r="L86" i="1"/>
  <c r="K86" i="1"/>
  <c r="J86" i="1"/>
  <c r="I86" i="1"/>
  <c r="H86" i="1"/>
  <c r="G86" i="1"/>
  <c r="F86" i="1"/>
  <c r="Q85" i="1"/>
  <c r="P85" i="1"/>
  <c r="O85" i="1"/>
  <c r="N85" i="1"/>
  <c r="M85" i="1"/>
  <c r="L85" i="1"/>
  <c r="K85" i="1"/>
  <c r="J85" i="1"/>
  <c r="I85" i="1"/>
  <c r="H85" i="1"/>
  <c r="G85" i="1"/>
  <c r="F85" i="1"/>
  <c r="Q84" i="1"/>
  <c r="P84" i="1"/>
  <c r="O84" i="1"/>
  <c r="N84" i="1"/>
  <c r="M84" i="1"/>
  <c r="L84" i="1"/>
  <c r="K84" i="1"/>
  <c r="J84" i="1"/>
  <c r="I84" i="1"/>
  <c r="H84" i="1"/>
  <c r="G84" i="1"/>
  <c r="F84" i="1"/>
  <c r="Q83" i="1"/>
  <c r="P83" i="1"/>
  <c r="O83" i="1"/>
  <c r="N83" i="1"/>
  <c r="M83" i="1"/>
  <c r="L83" i="1"/>
  <c r="K83" i="1"/>
  <c r="J83" i="1"/>
  <c r="I83" i="1"/>
  <c r="H83" i="1"/>
  <c r="G83" i="1"/>
  <c r="F83" i="1"/>
  <c r="S83" i="1" s="1"/>
  <c r="V83" i="1" s="1"/>
  <c r="Q82" i="1"/>
  <c r="P82" i="1"/>
  <c r="O82" i="1"/>
  <c r="N82" i="1"/>
  <c r="M82" i="1"/>
  <c r="L82" i="1"/>
  <c r="K82" i="1"/>
  <c r="J82" i="1"/>
  <c r="I82" i="1"/>
  <c r="H82" i="1"/>
  <c r="G82" i="1"/>
  <c r="F82" i="1"/>
  <c r="Q81" i="1"/>
  <c r="P81" i="1"/>
  <c r="O81" i="1"/>
  <c r="N81" i="1"/>
  <c r="M81" i="1"/>
  <c r="L81" i="1"/>
  <c r="K81" i="1"/>
  <c r="J81" i="1"/>
  <c r="I81" i="1"/>
  <c r="H81" i="1"/>
  <c r="G81" i="1"/>
  <c r="F81" i="1"/>
  <c r="Q80" i="1"/>
  <c r="P80" i="1"/>
  <c r="O80" i="1"/>
  <c r="N80" i="1"/>
  <c r="M80" i="1"/>
  <c r="L80" i="1"/>
  <c r="K80" i="1"/>
  <c r="J80" i="1"/>
  <c r="I80" i="1"/>
  <c r="H80" i="1"/>
  <c r="G80" i="1"/>
  <c r="F80" i="1"/>
  <c r="Q79" i="1"/>
  <c r="P79" i="1"/>
  <c r="O79" i="1"/>
  <c r="N79" i="1"/>
  <c r="M79" i="1"/>
  <c r="L79" i="1"/>
  <c r="K79" i="1"/>
  <c r="J79" i="1"/>
  <c r="I79" i="1"/>
  <c r="H79" i="1"/>
  <c r="G79" i="1"/>
  <c r="F79" i="1"/>
  <c r="Q78" i="1"/>
  <c r="P78" i="1"/>
  <c r="O78" i="1"/>
  <c r="N78" i="1"/>
  <c r="M78" i="1"/>
  <c r="L78" i="1"/>
  <c r="K78" i="1"/>
  <c r="J78" i="1"/>
  <c r="I78" i="1"/>
  <c r="H78" i="1"/>
  <c r="G78" i="1"/>
  <c r="F78" i="1"/>
  <c r="S78" i="1" s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5" i="1"/>
  <c r="P75" i="1"/>
  <c r="O75" i="1"/>
  <c r="N75" i="1"/>
  <c r="M75" i="1"/>
  <c r="L75" i="1"/>
  <c r="K75" i="1"/>
  <c r="J75" i="1"/>
  <c r="I75" i="1"/>
  <c r="H75" i="1"/>
  <c r="G75" i="1"/>
  <c r="F75" i="1"/>
  <c r="Q74" i="1"/>
  <c r="P74" i="1"/>
  <c r="O74" i="1"/>
  <c r="N74" i="1"/>
  <c r="M74" i="1"/>
  <c r="L74" i="1"/>
  <c r="K74" i="1"/>
  <c r="J74" i="1"/>
  <c r="I74" i="1"/>
  <c r="H74" i="1"/>
  <c r="G74" i="1"/>
  <c r="F74" i="1"/>
  <c r="Q73" i="1"/>
  <c r="P73" i="1"/>
  <c r="O73" i="1"/>
  <c r="N73" i="1"/>
  <c r="M73" i="1"/>
  <c r="L73" i="1"/>
  <c r="K73" i="1"/>
  <c r="J73" i="1"/>
  <c r="I73" i="1"/>
  <c r="H73" i="1"/>
  <c r="G73" i="1"/>
  <c r="F73" i="1"/>
  <c r="S73" i="1" s="1"/>
  <c r="V73" i="1" s="1"/>
  <c r="Q72" i="1"/>
  <c r="P72" i="1"/>
  <c r="O72" i="1"/>
  <c r="N72" i="1"/>
  <c r="M72" i="1"/>
  <c r="L72" i="1"/>
  <c r="K72" i="1"/>
  <c r="J72" i="1"/>
  <c r="I72" i="1"/>
  <c r="H72" i="1"/>
  <c r="G72" i="1"/>
  <c r="F72" i="1"/>
  <c r="Q71" i="1"/>
  <c r="P71" i="1"/>
  <c r="O71" i="1"/>
  <c r="N71" i="1"/>
  <c r="M71" i="1"/>
  <c r="L71" i="1"/>
  <c r="K71" i="1"/>
  <c r="J71" i="1"/>
  <c r="I71" i="1"/>
  <c r="H71" i="1"/>
  <c r="G71" i="1"/>
  <c r="F71" i="1"/>
  <c r="Q70" i="1"/>
  <c r="P70" i="1"/>
  <c r="O70" i="1"/>
  <c r="N70" i="1"/>
  <c r="M70" i="1"/>
  <c r="L70" i="1"/>
  <c r="K70" i="1"/>
  <c r="J70" i="1"/>
  <c r="I70" i="1"/>
  <c r="H70" i="1"/>
  <c r="G70" i="1"/>
  <c r="F70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6" i="1"/>
  <c r="P66" i="1"/>
  <c r="O66" i="1"/>
  <c r="N66" i="1"/>
  <c r="M66" i="1"/>
  <c r="L66" i="1"/>
  <c r="K66" i="1"/>
  <c r="J66" i="1"/>
  <c r="I66" i="1"/>
  <c r="H66" i="1"/>
  <c r="H62" i="1" s="1"/>
  <c r="G66" i="1"/>
  <c r="F66" i="1"/>
  <c r="Q65" i="1"/>
  <c r="P65" i="1"/>
  <c r="O65" i="1"/>
  <c r="N65" i="1"/>
  <c r="M65" i="1"/>
  <c r="L65" i="1"/>
  <c r="K65" i="1"/>
  <c r="J65" i="1"/>
  <c r="I65" i="1"/>
  <c r="H65" i="1"/>
  <c r="G65" i="1"/>
  <c r="F65" i="1"/>
  <c r="Q64" i="1"/>
  <c r="P64" i="1"/>
  <c r="O64" i="1"/>
  <c r="N64" i="1"/>
  <c r="M64" i="1"/>
  <c r="L64" i="1"/>
  <c r="K64" i="1"/>
  <c r="J64" i="1"/>
  <c r="I64" i="1"/>
  <c r="H64" i="1"/>
  <c r="G64" i="1"/>
  <c r="F64" i="1"/>
  <c r="Q63" i="1"/>
  <c r="P63" i="1"/>
  <c r="O63" i="1"/>
  <c r="N63" i="1"/>
  <c r="M63" i="1"/>
  <c r="L63" i="1"/>
  <c r="K63" i="1"/>
  <c r="J63" i="1"/>
  <c r="I63" i="1"/>
  <c r="H63" i="1"/>
  <c r="G63" i="1"/>
  <c r="F63" i="1"/>
  <c r="S63" i="1" s="1"/>
  <c r="V63" i="1" s="1"/>
  <c r="Q61" i="1"/>
  <c r="P61" i="1"/>
  <c r="O61" i="1"/>
  <c r="N61" i="1"/>
  <c r="M61" i="1"/>
  <c r="L61" i="1"/>
  <c r="K61" i="1"/>
  <c r="J61" i="1"/>
  <c r="I61" i="1"/>
  <c r="H61" i="1"/>
  <c r="G61" i="1"/>
  <c r="G57" i="1" s="1"/>
  <c r="F61" i="1"/>
  <c r="Q60" i="1"/>
  <c r="P60" i="1"/>
  <c r="O60" i="1"/>
  <c r="N60" i="1"/>
  <c r="M60" i="1"/>
  <c r="L60" i="1"/>
  <c r="K60" i="1"/>
  <c r="J60" i="1"/>
  <c r="I60" i="1"/>
  <c r="H60" i="1"/>
  <c r="G60" i="1"/>
  <c r="F60" i="1"/>
  <c r="Q59" i="1"/>
  <c r="P59" i="1"/>
  <c r="O59" i="1"/>
  <c r="N59" i="1"/>
  <c r="M59" i="1"/>
  <c r="L59" i="1"/>
  <c r="K59" i="1"/>
  <c r="J59" i="1"/>
  <c r="I59" i="1"/>
  <c r="H59" i="1"/>
  <c r="H57" i="1" s="1"/>
  <c r="G59" i="1"/>
  <c r="F59" i="1"/>
  <c r="S59" i="1" s="1"/>
  <c r="Q58" i="1"/>
  <c r="P58" i="1"/>
  <c r="O58" i="1"/>
  <c r="N58" i="1"/>
  <c r="N57" i="1" s="1"/>
  <c r="M58" i="1"/>
  <c r="L58" i="1"/>
  <c r="K58" i="1"/>
  <c r="J58" i="1"/>
  <c r="I58" i="1"/>
  <c r="H58" i="1"/>
  <c r="G58" i="1"/>
  <c r="F58" i="1"/>
  <c r="Q56" i="1"/>
  <c r="P56" i="1"/>
  <c r="O56" i="1"/>
  <c r="N56" i="1"/>
  <c r="M56" i="1"/>
  <c r="L56" i="1"/>
  <c r="K56" i="1"/>
  <c r="J56" i="1"/>
  <c r="I56" i="1"/>
  <c r="H56" i="1"/>
  <c r="G56" i="1"/>
  <c r="F56" i="1"/>
  <c r="Q55" i="1"/>
  <c r="P55" i="1"/>
  <c r="O55" i="1"/>
  <c r="N55" i="1"/>
  <c r="M55" i="1"/>
  <c r="L55" i="1"/>
  <c r="K55" i="1"/>
  <c r="J55" i="1"/>
  <c r="I55" i="1"/>
  <c r="H55" i="1"/>
  <c r="G55" i="1"/>
  <c r="F55" i="1"/>
  <c r="Q54" i="1"/>
  <c r="P54" i="1"/>
  <c r="O54" i="1"/>
  <c r="N54" i="1"/>
  <c r="M54" i="1"/>
  <c r="L54" i="1"/>
  <c r="K54" i="1"/>
  <c r="J54" i="1"/>
  <c r="I54" i="1"/>
  <c r="H54" i="1"/>
  <c r="G54" i="1"/>
  <c r="F54" i="1"/>
  <c r="Q53" i="1"/>
  <c r="P53" i="1"/>
  <c r="O53" i="1"/>
  <c r="N53" i="1"/>
  <c r="M53" i="1"/>
  <c r="L53" i="1"/>
  <c r="K53" i="1"/>
  <c r="J53" i="1"/>
  <c r="I53" i="1"/>
  <c r="H53" i="1"/>
  <c r="G53" i="1"/>
  <c r="F53" i="1"/>
  <c r="Q52" i="1"/>
  <c r="P52" i="1"/>
  <c r="O52" i="1"/>
  <c r="N52" i="1"/>
  <c r="M52" i="1"/>
  <c r="L52" i="1"/>
  <c r="K52" i="1"/>
  <c r="J52" i="1"/>
  <c r="I52" i="1"/>
  <c r="H52" i="1"/>
  <c r="G52" i="1"/>
  <c r="F52" i="1"/>
  <c r="Q51" i="1"/>
  <c r="P51" i="1"/>
  <c r="O51" i="1"/>
  <c r="N51" i="1"/>
  <c r="M51" i="1"/>
  <c r="L51" i="1"/>
  <c r="K51" i="1"/>
  <c r="J51" i="1"/>
  <c r="I51" i="1"/>
  <c r="H51" i="1"/>
  <c r="G51" i="1"/>
  <c r="F51" i="1"/>
  <c r="Q50" i="1"/>
  <c r="P50" i="1"/>
  <c r="O50" i="1"/>
  <c r="N50" i="1"/>
  <c r="M50" i="1"/>
  <c r="L50" i="1"/>
  <c r="K50" i="1"/>
  <c r="J50" i="1"/>
  <c r="I50" i="1"/>
  <c r="H50" i="1"/>
  <c r="G50" i="1"/>
  <c r="F50" i="1"/>
  <c r="Q49" i="1"/>
  <c r="P49" i="1"/>
  <c r="O49" i="1"/>
  <c r="N49" i="1"/>
  <c r="M49" i="1"/>
  <c r="M44" i="1" s="1"/>
  <c r="L49" i="1"/>
  <c r="K49" i="1"/>
  <c r="J49" i="1"/>
  <c r="I49" i="1"/>
  <c r="H49" i="1"/>
  <c r="G49" i="1"/>
  <c r="F49" i="1"/>
  <c r="Q48" i="1"/>
  <c r="P48" i="1"/>
  <c r="O48" i="1"/>
  <c r="N48" i="1"/>
  <c r="M48" i="1"/>
  <c r="L48" i="1"/>
  <c r="K48" i="1"/>
  <c r="J48" i="1"/>
  <c r="I48" i="1"/>
  <c r="H48" i="1"/>
  <c r="G48" i="1"/>
  <c r="F48" i="1"/>
  <c r="Q47" i="1"/>
  <c r="P47" i="1"/>
  <c r="P44" i="1" s="1"/>
  <c r="O47" i="1"/>
  <c r="O44" i="1" s="1"/>
  <c r="N47" i="1"/>
  <c r="M47" i="1"/>
  <c r="L47" i="1"/>
  <c r="K47" i="1"/>
  <c r="J47" i="1"/>
  <c r="I47" i="1"/>
  <c r="H47" i="1"/>
  <c r="G47" i="1"/>
  <c r="F47" i="1"/>
  <c r="Q46" i="1"/>
  <c r="P46" i="1"/>
  <c r="O46" i="1"/>
  <c r="N46" i="1"/>
  <c r="M46" i="1"/>
  <c r="L46" i="1"/>
  <c r="K46" i="1"/>
  <c r="J46" i="1"/>
  <c r="I46" i="1"/>
  <c r="H46" i="1"/>
  <c r="G46" i="1"/>
  <c r="F46" i="1"/>
  <c r="Q45" i="1"/>
  <c r="P45" i="1"/>
  <c r="O45" i="1"/>
  <c r="N45" i="1"/>
  <c r="M45" i="1"/>
  <c r="L45" i="1"/>
  <c r="K45" i="1"/>
  <c r="J45" i="1"/>
  <c r="I45" i="1"/>
  <c r="H45" i="1"/>
  <c r="G45" i="1"/>
  <c r="F45" i="1"/>
  <c r="V42" i="1"/>
  <c r="Q41" i="1"/>
  <c r="P41" i="1"/>
  <c r="O41" i="1"/>
  <c r="N41" i="1"/>
  <c r="M41" i="1"/>
  <c r="L41" i="1"/>
  <c r="K41" i="1"/>
  <c r="J41" i="1"/>
  <c r="I41" i="1"/>
  <c r="H41" i="1"/>
  <c r="G41" i="1"/>
  <c r="F41" i="1"/>
  <c r="Q40" i="1"/>
  <c r="P40" i="1"/>
  <c r="O40" i="1"/>
  <c r="N40" i="1"/>
  <c r="M40" i="1"/>
  <c r="L40" i="1"/>
  <c r="K40" i="1"/>
  <c r="J40" i="1"/>
  <c r="I40" i="1"/>
  <c r="H40" i="1"/>
  <c r="G40" i="1"/>
  <c r="G35" i="1" s="1"/>
  <c r="F40" i="1"/>
  <c r="S40" i="1" s="1"/>
  <c r="V40" i="1" s="1"/>
  <c r="Q39" i="1"/>
  <c r="P39" i="1"/>
  <c r="O39" i="1"/>
  <c r="N39" i="1"/>
  <c r="M39" i="1"/>
  <c r="L39" i="1"/>
  <c r="K39" i="1"/>
  <c r="J39" i="1"/>
  <c r="I39" i="1"/>
  <c r="I35" i="1" s="1"/>
  <c r="H39" i="1"/>
  <c r="G39" i="1"/>
  <c r="F39" i="1"/>
  <c r="S39" i="1" s="1"/>
  <c r="Q38" i="1"/>
  <c r="P38" i="1"/>
  <c r="O38" i="1"/>
  <c r="N38" i="1"/>
  <c r="M38" i="1"/>
  <c r="L38" i="1"/>
  <c r="L35" i="1" s="1"/>
  <c r="K38" i="1"/>
  <c r="J38" i="1"/>
  <c r="I38" i="1"/>
  <c r="H38" i="1"/>
  <c r="G38" i="1"/>
  <c r="F38" i="1"/>
  <c r="Q37" i="1"/>
  <c r="P37" i="1"/>
  <c r="O37" i="1"/>
  <c r="N37" i="1"/>
  <c r="M37" i="1"/>
  <c r="L37" i="1"/>
  <c r="K37" i="1"/>
  <c r="J37" i="1"/>
  <c r="I37" i="1"/>
  <c r="H37" i="1"/>
  <c r="G37" i="1"/>
  <c r="F37" i="1"/>
  <c r="S37" i="1" s="1"/>
  <c r="Q36" i="1"/>
  <c r="P36" i="1"/>
  <c r="O36" i="1"/>
  <c r="O35" i="1" s="1"/>
  <c r="N36" i="1"/>
  <c r="N35" i="1" s="1"/>
  <c r="M36" i="1"/>
  <c r="L36" i="1"/>
  <c r="K36" i="1"/>
  <c r="J36" i="1"/>
  <c r="I36" i="1"/>
  <c r="H36" i="1"/>
  <c r="G36" i="1"/>
  <c r="F36" i="1"/>
  <c r="Q34" i="1"/>
  <c r="P34" i="1"/>
  <c r="O34" i="1"/>
  <c r="N34" i="1"/>
  <c r="M34" i="1"/>
  <c r="L34" i="1"/>
  <c r="K34" i="1"/>
  <c r="J34" i="1"/>
  <c r="I34" i="1"/>
  <c r="H34" i="1"/>
  <c r="G34" i="1"/>
  <c r="F34" i="1"/>
  <c r="S34" i="1" s="1"/>
  <c r="Q33" i="1"/>
  <c r="P33" i="1"/>
  <c r="O33" i="1"/>
  <c r="N33" i="1"/>
  <c r="M33" i="1"/>
  <c r="L33" i="1"/>
  <c r="K33" i="1"/>
  <c r="J33" i="1"/>
  <c r="I33" i="1"/>
  <c r="H33" i="1"/>
  <c r="G33" i="1"/>
  <c r="F33" i="1"/>
  <c r="S33" i="1" s="1"/>
  <c r="Q32" i="1"/>
  <c r="P32" i="1"/>
  <c r="O32" i="1"/>
  <c r="N32" i="1"/>
  <c r="M32" i="1"/>
  <c r="L32" i="1"/>
  <c r="K32" i="1"/>
  <c r="J32" i="1"/>
  <c r="I32" i="1"/>
  <c r="H32" i="1"/>
  <c r="G32" i="1"/>
  <c r="F32" i="1"/>
  <c r="Q31" i="1"/>
  <c r="P31" i="1"/>
  <c r="O31" i="1"/>
  <c r="N31" i="1"/>
  <c r="M31" i="1"/>
  <c r="L31" i="1"/>
  <c r="K31" i="1"/>
  <c r="J31" i="1"/>
  <c r="I31" i="1"/>
  <c r="H31" i="1"/>
  <c r="G31" i="1"/>
  <c r="F31" i="1"/>
  <c r="S31" i="1" s="1"/>
  <c r="V31" i="1" s="1"/>
  <c r="Q30" i="1"/>
  <c r="P30" i="1"/>
  <c r="O30" i="1"/>
  <c r="N30" i="1"/>
  <c r="M30" i="1"/>
  <c r="L30" i="1"/>
  <c r="K30" i="1"/>
  <c r="J30" i="1"/>
  <c r="I30" i="1"/>
  <c r="H30" i="1"/>
  <c r="G30" i="1"/>
  <c r="F30" i="1"/>
  <c r="Q29" i="1"/>
  <c r="P29" i="1"/>
  <c r="O29" i="1"/>
  <c r="N29" i="1"/>
  <c r="M29" i="1"/>
  <c r="L29" i="1"/>
  <c r="K29" i="1"/>
  <c r="J29" i="1"/>
  <c r="I29" i="1"/>
  <c r="H29" i="1"/>
  <c r="G29" i="1"/>
  <c r="F29" i="1"/>
  <c r="Q28" i="1"/>
  <c r="P28" i="1"/>
  <c r="O28" i="1"/>
  <c r="N28" i="1"/>
  <c r="M28" i="1"/>
  <c r="L28" i="1"/>
  <c r="K28" i="1"/>
  <c r="J28" i="1"/>
  <c r="I28" i="1"/>
  <c r="H28" i="1"/>
  <c r="G28" i="1"/>
  <c r="F28" i="1"/>
  <c r="Q27" i="1"/>
  <c r="Q26" i="1" s="1"/>
  <c r="P27" i="1"/>
  <c r="O27" i="1"/>
  <c r="N27" i="1"/>
  <c r="M27" i="1"/>
  <c r="L27" i="1"/>
  <c r="K27" i="1"/>
  <c r="J27" i="1"/>
  <c r="I27" i="1"/>
  <c r="H27" i="1"/>
  <c r="G27" i="1"/>
  <c r="F27" i="1"/>
  <c r="Q25" i="1"/>
  <c r="P25" i="1"/>
  <c r="O25" i="1"/>
  <c r="N25" i="1"/>
  <c r="M25" i="1"/>
  <c r="L25" i="1"/>
  <c r="K25" i="1"/>
  <c r="J25" i="1"/>
  <c r="I25" i="1"/>
  <c r="H25" i="1"/>
  <c r="G25" i="1"/>
  <c r="F25" i="1"/>
  <c r="S25" i="1" s="1"/>
  <c r="Q24" i="1"/>
  <c r="P24" i="1"/>
  <c r="O24" i="1"/>
  <c r="N24" i="1"/>
  <c r="M24" i="1"/>
  <c r="L24" i="1"/>
  <c r="K24" i="1"/>
  <c r="J24" i="1"/>
  <c r="I24" i="1"/>
  <c r="H24" i="1"/>
  <c r="G24" i="1"/>
  <c r="F24" i="1"/>
  <c r="Q23" i="1"/>
  <c r="P23" i="1"/>
  <c r="O23" i="1"/>
  <c r="N23" i="1"/>
  <c r="M23" i="1"/>
  <c r="L23" i="1"/>
  <c r="K23" i="1"/>
  <c r="J23" i="1"/>
  <c r="I23" i="1"/>
  <c r="H23" i="1"/>
  <c r="G23" i="1"/>
  <c r="F23" i="1"/>
  <c r="Q22" i="1"/>
  <c r="P22" i="1"/>
  <c r="O22" i="1"/>
  <c r="N22" i="1"/>
  <c r="M22" i="1"/>
  <c r="L22" i="1"/>
  <c r="K22" i="1"/>
  <c r="J22" i="1"/>
  <c r="I22" i="1"/>
  <c r="H22" i="1"/>
  <c r="G22" i="1"/>
  <c r="F22" i="1"/>
  <c r="Q21" i="1"/>
  <c r="P21" i="1"/>
  <c r="O21" i="1"/>
  <c r="N21" i="1"/>
  <c r="M21" i="1"/>
  <c r="L21" i="1"/>
  <c r="K21" i="1"/>
  <c r="J21" i="1"/>
  <c r="I21" i="1"/>
  <c r="H21" i="1"/>
  <c r="G21" i="1"/>
  <c r="F21" i="1"/>
  <c r="Q20" i="1"/>
  <c r="P20" i="1"/>
  <c r="O20" i="1"/>
  <c r="N20" i="1"/>
  <c r="M20" i="1"/>
  <c r="L20" i="1"/>
  <c r="K20" i="1"/>
  <c r="J20" i="1"/>
  <c r="I20" i="1"/>
  <c r="H20" i="1"/>
  <c r="G20" i="1"/>
  <c r="F20" i="1"/>
  <c r="Q19" i="1"/>
  <c r="P19" i="1"/>
  <c r="O19" i="1"/>
  <c r="N19" i="1"/>
  <c r="M19" i="1"/>
  <c r="L19" i="1"/>
  <c r="K19" i="1"/>
  <c r="J19" i="1"/>
  <c r="I19" i="1"/>
  <c r="H19" i="1"/>
  <c r="G19" i="1"/>
  <c r="F19" i="1"/>
  <c r="Q18" i="1"/>
  <c r="P18" i="1"/>
  <c r="O18" i="1"/>
  <c r="N18" i="1"/>
  <c r="M18" i="1"/>
  <c r="L18" i="1"/>
  <c r="K18" i="1"/>
  <c r="J18" i="1"/>
  <c r="I18" i="1"/>
  <c r="H18" i="1"/>
  <c r="G18" i="1"/>
  <c r="F18" i="1"/>
  <c r="Q17" i="1"/>
  <c r="P17" i="1"/>
  <c r="O17" i="1"/>
  <c r="N17" i="1"/>
  <c r="M17" i="1"/>
  <c r="L17" i="1"/>
  <c r="K17" i="1"/>
  <c r="J17" i="1"/>
  <c r="I17" i="1"/>
  <c r="H17" i="1"/>
  <c r="G17" i="1"/>
  <c r="F17" i="1"/>
  <c r="Q16" i="1"/>
  <c r="P16" i="1"/>
  <c r="O16" i="1"/>
  <c r="N16" i="1"/>
  <c r="M16" i="1"/>
  <c r="L16" i="1"/>
  <c r="K16" i="1"/>
  <c r="J16" i="1"/>
  <c r="I16" i="1"/>
  <c r="H16" i="1"/>
  <c r="G16" i="1"/>
  <c r="F16" i="1"/>
  <c r="Q15" i="1"/>
  <c r="P15" i="1"/>
  <c r="O15" i="1"/>
  <c r="N15" i="1"/>
  <c r="M15" i="1"/>
  <c r="L15" i="1"/>
  <c r="K15" i="1"/>
  <c r="J15" i="1"/>
  <c r="I15" i="1"/>
  <c r="H15" i="1"/>
  <c r="G15" i="1"/>
  <c r="F15" i="1"/>
  <c r="S15" i="1" s="1"/>
  <c r="Q14" i="1"/>
  <c r="P14" i="1"/>
  <c r="O14" i="1"/>
  <c r="N14" i="1"/>
  <c r="M14" i="1"/>
  <c r="L14" i="1"/>
  <c r="K14" i="1"/>
  <c r="J14" i="1"/>
  <c r="I14" i="1"/>
  <c r="H14" i="1"/>
  <c r="G14" i="1"/>
  <c r="F14" i="1"/>
  <c r="Q13" i="1"/>
  <c r="P13" i="1"/>
  <c r="O13" i="1"/>
  <c r="N13" i="1"/>
  <c r="M13" i="1"/>
  <c r="L13" i="1"/>
  <c r="K13" i="1"/>
  <c r="J13" i="1"/>
  <c r="I13" i="1"/>
  <c r="H13" i="1"/>
  <c r="G13" i="1"/>
  <c r="F13" i="1"/>
  <c r="Q12" i="1"/>
  <c r="P12" i="1"/>
  <c r="O12" i="1"/>
  <c r="N12" i="1"/>
  <c r="M12" i="1"/>
  <c r="L12" i="1"/>
  <c r="K12" i="1"/>
  <c r="J12" i="1"/>
  <c r="I12" i="1"/>
  <c r="H12" i="1"/>
  <c r="G12" i="1"/>
  <c r="F12" i="1"/>
  <c r="Q11" i="1"/>
  <c r="P11" i="1"/>
  <c r="O11" i="1"/>
  <c r="N11" i="1"/>
  <c r="M11" i="1"/>
  <c r="L11" i="1"/>
  <c r="K11" i="1"/>
  <c r="J11" i="1"/>
  <c r="I11" i="1"/>
  <c r="H11" i="1"/>
  <c r="G11" i="1"/>
  <c r="F11" i="1"/>
  <c r="Q10" i="1"/>
  <c r="P10" i="1"/>
  <c r="O10" i="1"/>
  <c r="N10" i="1"/>
  <c r="M10" i="1"/>
  <c r="L10" i="1"/>
  <c r="K10" i="1"/>
  <c r="J10" i="1"/>
  <c r="I10" i="1"/>
  <c r="H10" i="1"/>
  <c r="G10" i="1"/>
  <c r="F10" i="1"/>
  <c r="S10" i="1" s="1"/>
  <c r="Q9" i="1"/>
  <c r="P9" i="1"/>
  <c r="O9" i="1"/>
  <c r="N9" i="1"/>
  <c r="M9" i="1"/>
  <c r="L9" i="1"/>
  <c r="K9" i="1"/>
  <c r="J9" i="1"/>
  <c r="I9" i="1"/>
  <c r="H9" i="1"/>
  <c r="G9" i="1"/>
  <c r="F9" i="1"/>
  <c r="Q8" i="1"/>
  <c r="P8" i="1"/>
  <c r="O8" i="1"/>
  <c r="N8" i="1"/>
  <c r="M8" i="1"/>
  <c r="L8" i="1"/>
  <c r="K8" i="1"/>
  <c r="J8" i="1"/>
  <c r="I8" i="1"/>
  <c r="H8" i="1"/>
  <c r="G8" i="1"/>
  <c r="F8" i="1"/>
  <c r="Q7" i="1"/>
  <c r="P7" i="1"/>
  <c r="O7" i="1"/>
  <c r="N7" i="1"/>
  <c r="M7" i="1"/>
  <c r="L7" i="1"/>
  <c r="K7" i="1"/>
  <c r="J7" i="1"/>
  <c r="I7" i="1"/>
  <c r="H7" i="1"/>
  <c r="G7" i="1"/>
  <c r="F7" i="1"/>
  <c r="Q6" i="1"/>
  <c r="P6" i="1"/>
  <c r="O6" i="1"/>
  <c r="N6" i="1"/>
  <c r="M6" i="1"/>
  <c r="L6" i="1"/>
  <c r="K6" i="1"/>
  <c r="J6" i="1"/>
  <c r="I6" i="1"/>
  <c r="H6" i="1"/>
  <c r="G6" i="1"/>
  <c r="F6" i="1"/>
  <c r="Q5" i="1"/>
  <c r="P5" i="1"/>
  <c r="O5" i="1"/>
  <c r="N5" i="1"/>
  <c r="M5" i="1"/>
  <c r="L5" i="1"/>
  <c r="K5" i="1"/>
  <c r="J5" i="1"/>
  <c r="I5" i="1"/>
  <c r="H5" i="1"/>
  <c r="G5" i="1"/>
  <c r="G4" i="1" s="1"/>
  <c r="F5" i="1"/>
  <c r="S297" i="1" l="1"/>
  <c r="V297" i="1" s="1"/>
  <c r="S72" i="1"/>
  <c r="S82" i="1"/>
  <c r="S87" i="1"/>
  <c r="V87" i="1" s="1"/>
  <c r="S156" i="1"/>
  <c r="F175" i="1"/>
  <c r="S191" i="1"/>
  <c r="V191" i="1" s="1"/>
  <c r="N200" i="1"/>
  <c r="S221" i="1"/>
  <c r="V221" i="1" s="1"/>
  <c r="S231" i="1"/>
  <c r="S313" i="1"/>
  <c r="P321" i="1"/>
  <c r="S134" i="1"/>
  <c r="S273" i="1"/>
  <c r="I381" i="1"/>
  <c r="S381" i="1" s="1"/>
  <c r="M93" i="1"/>
  <c r="S9" i="1"/>
  <c r="V9" i="1" s="1"/>
  <c r="L4" i="1"/>
  <c r="L3" i="1" s="1"/>
  <c r="L406" i="1" s="1"/>
  <c r="L408" i="1" s="1"/>
  <c r="K26" i="1"/>
  <c r="S36" i="1"/>
  <c r="J35" i="1"/>
  <c r="S41" i="1"/>
  <c r="M57" i="1"/>
  <c r="I57" i="1"/>
  <c r="K93" i="1"/>
  <c r="G93" i="1"/>
  <c r="O237" i="1"/>
  <c r="I278" i="1"/>
  <c r="I347" i="1"/>
  <c r="S30" i="1"/>
  <c r="S47" i="1"/>
  <c r="L26" i="1"/>
  <c r="L44" i="1"/>
  <c r="F57" i="1"/>
  <c r="J57" i="1"/>
  <c r="M62" i="1"/>
  <c r="L93" i="1"/>
  <c r="H93" i="1"/>
  <c r="F149" i="1"/>
  <c r="S162" i="1"/>
  <c r="S167" i="1"/>
  <c r="S172" i="1"/>
  <c r="P237" i="1"/>
  <c r="K245" i="1"/>
  <c r="L274" i="1"/>
  <c r="P314" i="1"/>
  <c r="J347" i="1"/>
  <c r="S361" i="1"/>
  <c r="V361" i="1" s="1"/>
  <c r="S371" i="1"/>
  <c r="V371" i="1" s="1"/>
  <c r="Q57" i="1"/>
  <c r="K114" i="1"/>
  <c r="J4" i="1"/>
  <c r="S113" i="1"/>
  <c r="V113" i="1" s="1"/>
  <c r="S6" i="1"/>
  <c r="V6" i="1" s="1"/>
  <c r="S16" i="1"/>
  <c r="S21" i="1"/>
  <c r="P35" i="1"/>
  <c r="S64" i="1"/>
  <c r="V64" i="1" s="1"/>
  <c r="S79" i="1"/>
  <c r="V79" i="1" s="1"/>
  <c r="S84" i="1"/>
  <c r="V84" i="1" s="1"/>
  <c r="S178" i="1"/>
  <c r="V178" i="1" s="1"/>
  <c r="N175" i="1"/>
  <c r="S188" i="1"/>
  <c r="S193" i="1"/>
  <c r="S198" i="1"/>
  <c r="V198" i="1" s="1"/>
  <c r="S202" i="1"/>
  <c r="S208" i="1"/>
  <c r="S223" i="1"/>
  <c r="H245" i="1"/>
  <c r="H249" i="1"/>
  <c r="M268" i="1"/>
  <c r="M274" i="1"/>
  <c r="K286" i="1"/>
  <c r="K347" i="1"/>
  <c r="G355" i="1"/>
  <c r="O26" i="1"/>
  <c r="I4" i="1"/>
  <c r="P57" i="1"/>
  <c r="S95" i="1"/>
  <c r="V95" i="1" s="1"/>
  <c r="S110" i="1"/>
  <c r="V110" i="1" s="1"/>
  <c r="S116" i="1"/>
  <c r="V116" i="1" s="1"/>
  <c r="S121" i="1"/>
  <c r="F114" i="1"/>
  <c r="S136" i="1"/>
  <c r="V136" i="1" s="1"/>
  <c r="K175" i="1"/>
  <c r="F237" i="1"/>
  <c r="S244" i="1"/>
  <c r="V244" i="1" s="1"/>
  <c r="N268" i="1"/>
  <c r="N274" i="1"/>
  <c r="L278" i="1"/>
  <c r="H286" i="1"/>
  <c r="G299" i="1"/>
  <c r="I321" i="1"/>
  <c r="M324" i="1"/>
  <c r="N237" i="1"/>
  <c r="S38" i="1"/>
  <c r="V38" i="1" s="1"/>
  <c r="L175" i="1"/>
  <c r="N245" i="1"/>
  <c r="J245" i="1"/>
  <c r="F249" i="1"/>
  <c r="J249" i="1"/>
  <c r="S261" i="1"/>
  <c r="I286" i="1"/>
  <c r="S341" i="1"/>
  <c r="V341" i="1" s="1"/>
  <c r="M347" i="1"/>
  <c r="N381" i="1"/>
  <c r="M175" i="1"/>
  <c r="I62" i="1"/>
  <c r="I146" i="1"/>
  <c r="S146" i="1" s="1"/>
  <c r="S154" i="1"/>
  <c r="S164" i="1"/>
  <c r="M205" i="1"/>
  <c r="O245" i="1"/>
  <c r="N278" i="1"/>
  <c r="S289" i="1"/>
  <c r="V289" i="1" s="1"/>
  <c r="I299" i="1"/>
  <c r="S373" i="1"/>
  <c r="H4" i="1"/>
  <c r="H3" i="1" s="1"/>
  <c r="S98" i="1"/>
  <c r="V98" i="1" s="1"/>
  <c r="S8" i="1"/>
  <c r="V8" i="1" s="1"/>
  <c r="S13" i="1"/>
  <c r="V13" i="1" s="1"/>
  <c r="S18" i="1"/>
  <c r="S71" i="1"/>
  <c r="S86" i="1"/>
  <c r="V86" i="1" s="1"/>
  <c r="S204" i="1"/>
  <c r="V204" i="1" s="1"/>
  <c r="S215" i="1"/>
  <c r="S225" i="1"/>
  <c r="S235" i="1"/>
  <c r="V235" i="1" s="1"/>
  <c r="P245" i="1"/>
  <c r="L249" i="1"/>
  <c r="G286" i="1"/>
  <c r="O286" i="1"/>
  <c r="J299" i="1"/>
  <c r="S14" i="1"/>
  <c r="S52" i="1"/>
  <c r="V52" i="1" s="1"/>
  <c r="K4" i="1"/>
  <c r="S46" i="1"/>
  <c r="S118" i="1"/>
  <c r="V118" i="1" s="1"/>
  <c r="S133" i="1"/>
  <c r="V133" i="1" s="1"/>
  <c r="M355" i="1"/>
  <c r="K324" i="1"/>
  <c r="S365" i="1"/>
  <c r="S380" i="1"/>
  <c r="S217" i="1"/>
  <c r="L381" i="1"/>
  <c r="S177" i="1"/>
  <c r="V177" i="1" s="1"/>
  <c r="S187" i="1"/>
  <c r="V187" i="1" s="1"/>
  <c r="N26" i="1"/>
  <c r="F26" i="1"/>
  <c r="S26" i="1" s="1"/>
  <c r="M35" i="1"/>
  <c r="N44" i="1"/>
  <c r="L57" i="1"/>
  <c r="G62" i="1"/>
  <c r="S109" i="1"/>
  <c r="S120" i="1"/>
  <c r="V120" i="1" s="1"/>
  <c r="F268" i="1"/>
  <c r="J274" i="1"/>
  <c r="I324" i="1"/>
  <c r="H347" i="1"/>
  <c r="G237" i="1"/>
  <c r="S255" i="1"/>
  <c r="V255" i="1" s="1"/>
  <c r="Q286" i="1"/>
  <c r="K314" i="1"/>
  <c r="J324" i="1"/>
  <c r="S345" i="1"/>
  <c r="G249" i="1"/>
  <c r="K249" i="1"/>
  <c r="S288" i="1"/>
  <c r="V288" i="1" s="1"/>
  <c r="S357" i="1"/>
  <c r="V357" i="1" s="1"/>
  <c r="N355" i="1"/>
  <c r="S372" i="1"/>
  <c r="S377" i="1"/>
  <c r="V377" i="1" s="1"/>
  <c r="O381" i="1"/>
  <c r="K381" i="1"/>
  <c r="S17" i="1"/>
  <c r="V17" i="1" s="1"/>
  <c r="P26" i="1"/>
  <c r="S90" i="1"/>
  <c r="V90" i="1" s="1"/>
  <c r="S194" i="1"/>
  <c r="V194" i="1" s="1"/>
  <c r="S203" i="1"/>
  <c r="S209" i="1"/>
  <c r="V209" i="1" s="1"/>
  <c r="N205" i="1"/>
  <c r="S219" i="1"/>
  <c r="S224" i="1"/>
  <c r="G278" i="1"/>
  <c r="S22" i="1"/>
  <c r="V22" i="1" s="1"/>
  <c r="Q44" i="1"/>
  <c r="J62" i="1"/>
  <c r="S75" i="1"/>
  <c r="V75" i="1" s="1"/>
  <c r="Q35" i="1"/>
  <c r="S55" i="1"/>
  <c r="J114" i="1"/>
  <c r="S117" i="1"/>
  <c r="S122" i="1"/>
  <c r="V122" i="1" s="1"/>
  <c r="S137" i="1"/>
  <c r="S317" i="1"/>
  <c r="V317" i="1" s="1"/>
  <c r="L146" i="1"/>
  <c r="P200" i="1"/>
  <c r="K268" i="1"/>
  <c r="H299" i="1"/>
  <c r="G314" i="1"/>
  <c r="O314" i="1"/>
  <c r="S91" i="1"/>
  <c r="S150" i="1"/>
  <c r="S155" i="1"/>
  <c r="S165" i="1"/>
  <c r="S170" i="1"/>
  <c r="M200" i="1"/>
  <c r="H274" i="1"/>
  <c r="Q299" i="1"/>
  <c r="O321" i="1"/>
  <c r="S353" i="1"/>
  <c r="S379" i="1"/>
  <c r="V379" i="1" s="1"/>
  <c r="V47" i="1"/>
  <c r="V59" i="1"/>
  <c r="V91" i="1"/>
  <c r="V161" i="1"/>
  <c r="V165" i="1"/>
  <c r="V171" i="1"/>
  <c r="V172" i="1"/>
  <c r="V71" i="1"/>
  <c r="V78" i="1"/>
  <c r="V117" i="1"/>
  <c r="V137" i="1"/>
  <c r="V219" i="1"/>
  <c r="V223" i="1"/>
  <c r="V30" i="1"/>
  <c r="L388" i="1"/>
  <c r="V154" i="1"/>
  <c r="V155" i="1"/>
  <c r="V162" i="1"/>
  <c r="V353" i="1"/>
  <c r="V373" i="1"/>
  <c r="V21" i="1"/>
  <c r="V36" i="1"/>
  <c r="V37" i="1"/>
  <c r="V41" i="1"/>
  <c r="V10" i="1"/>
  <c r="V14" i="1"/>
  <c r="V18" i="1"/>
  <c r="V25" i="1"/>
  <c r="I3" i="1"/>
  <c r="V55" i="1"/>
  <c r="V72" i="1"/>
  <c r="S104" i="1"/>
  <c r="V121" i="1"/>
  <c r="V166" i="1"/>
  <c r="M381" i="1"/>
  <c r="V365" i="1"/>
  <c r="V372" i="1"/>
  <c r="V16" i="1"/>
  <c r="J26" i="1"/>
  <c r="S144" i="1"/>
  <c r="V167" i="1"/>
  <c r="V168" i="1"/>
  <c r="V170" i="1"/>
  <c r="V188" i="1"/>
  <c r="M278" i="1"/>
  <c r="S32" i="1"/>
  <c r="V33" i="1"/>
  <c r="V34" i="1"/>
  <c r="S74" i="1"/>
  <c r="S126" i="1"/>
  <c r="S145" i="1"/>
  <c r="S192" i="1"/>
  <c r="V225" i="1"/>
  <c r="V231" i="1"/>
  <c r="S374" i="1"/>
  <c r="F35" i="1"/>
  <c r="V46" i="1"/>
  <c r="Q62" i="1"/>
  <c r="S92" i="1"/>
  <c r="S105" i="1"/>
  <c r="V109" i="1"/>
  <c r="V150" i="1"/>
  <c r="S232" i="1"/>
  <c r="S256" i="1"/>
  <c r="V380" i="1"/>
  <c r="M26" i="1"/>
  <c r="G44" i="1"/>
  <c r="K57" i="1"/>
  <c r="P62" i="1"/>
  <c r="S127" i="1"/>
  <c r="S152" i="1"/>
  <c r="S233" i="1"/>
  <c r="S257" i="1"/>
  <c r="V261" i="1"/>
  <c r="S331" i="1"/>
  <c r="H44" i="1"/>
  <c r="N62" i="1"/>
  <c r="N400" i="1" s="1"/>
  <c r="F93" i="1"/>
  <c r="O93" i="1"/>
  <c r="M114" i="1"/>
  <c r="V153" i="1"/>
  <c r="V156" i="1"/>
  <c r="V333" i="1"/>
  <c r="S19" i="1"/>
  <c r="S20" i="1"/>
  <c r="S48" i="1"/>
  <c r="S65" i="1"/>
  <c r="J149" i="1"/>
  <c r="S173" i="1"/>
  <c r="V203" i="1"/>
  <c r="Q205" i="1"/>
  <c r="S302" i="1"/>
  <c r="S339" i="1"/>
  <c r="J44" i="1"/>
  <c r="S57" i="1"/>
  <c r="S58" i="1"/>
  <c r="V82" i="1"/>
  <c r="V134" i="1"/>
  <c r="F205" i="1"/>
  <c r="S207" i="1"/>
  <c r="O4" i="1"/>
  <c r="S11" i="1"/>
  <c r="S12" i="1"/>
  <c r="K44" i="1"/>
  <c r="S50" i="1"/>
  <c r="S51" i="1"/>
  <c r="F62" i="1"/>
  <c r="S66" i="1"/>
  <c r="S85" i="1"/>
  <c r="I93" i="1"/>
  <c r="S157" i="1"/>
  <c r="S160" i="1"/>
  <c r="G175" i="1"/>
  <c r="Q175" i="1"/>
  <c r="G205" i="1"/>
  <c r="V208" i="1"/>
  <c r="V296" i="1"/>
  <c r="S303" i="1"/>
  <c r="V15" i="1"/>
  <c r="S54" i="1"/>
  <c r="V193" i="1"/>
  <c r="S7" i="1"/>
  <c r="S27" i="1"/>
  <c r="S28" i="1"/>
  <c r="S29" i="1"/>
  <c r="K62" i="1"/>
  <c r="S67" i="1"/>
  <c r="S70" i="1"/>
  <c r="J93" i="1"/>
  <c r="G114" i="1"/>
  <c r="S148" i="1"/>
  <c r="H205" i="1"/>
  <c r="V313" i="1"/>
  <c r="S351" i="1"/>
  <c r="I26" i="1"/>
  <c r="P4" i="1"/>
  <c r="P3" i="1" s="1"/>
  <c r="Q4" i="1"/>
  <c r="N4" i="1"/>
  <c r="M4" i="1"/>
  <c r="M3" i="1" s="1"/>
  <c r="G26" i="1"/>
  <c r="G3" i="1" s="1"/>
  <c r="S101" i="1"/>
  <c r="S102" i="1"/>
  <c r="H114" i="1"/>
  <c r="I175" i="1"/>
  <c r="S180" i="1"/>
  <c r="S181" i="1"/>
  <c r="S186" i="1"/>
  <c r="V215" i="1"/>
  <c r="V217" i="1"/>
  <c r="S352" i="1"/>
  <c r="V39" i="1"/>
  <c r="V163" i="1"/>
  <c r="V164" i="1"/>
  <c r="F4" i="1"/>
  <c r="S5" i="1"/>
  <c r="S23" i="1"/>
  <c r="S24" i="1"/>
  <c r="H26" i="1"/>
  <c r="S53" i="1"/>
  <c r="S103" i="1"/>
  <c r="I114" i="1"/>
  <c r="S138" i="1"/>
  <c r="S142" i="1"/>
  <c r="S143" i="1"/>
  <c r="I149" i="1"/>
  <c r="J175" i="1"/>
  <c r="I205" i="1"/>
  <c r="N324" i="1"/>
  <c r="S45" i="1"/>
  <c r="S60" i="1"/>
  <c r="S106" i="1"/>
  <c r="S108" i="1"/>
  <c r="O114" i="1"/>
  <c r="S131" i="1"/>
  <c r="P149" i="1"/>
  <c r="S211" i="1"/>
  <c r="N249" i="1"/>
  <c r="S285" i="1"/>
  <c r="F324" i="1"/>
  <c r="S325" i="1"/>
  <c r="V345" i="1"/>
  <c r="Q355" i="1"/>
  <c r="V224" i="1"/>
  <c r="S271" i="1"/>
  <c r="S305" i="1"/>
  <c r="S340" i="1"/>
  <c r="S49" i="1"/>
  <c r="L62" i="1"/>
  <c r="S96" i="1"/>
  <c r="S97" i="1"/>
  <c r="N149" i="1"/>
  <c r="V202" i="1"/>
  <c r="S311" i="1"/>
  <c r="K35" i="1"/>
  <c r="S80" i="1"/>
  <c r="S129" i="1"/>
  <c r="S130" i="1"/>
  <c r="S174" i="1"/>
  <c r="K205" i="1"/>
  <c r="S210" i="1"/>
  <c r="V273" i="1"/>
  <c r="S281" i="1"/>
  <c r="S312" i="1"/>
  <c r="P355" i="1"/>
  <c r="O62" i="1"/>
  <c r="S88" i="1"/>
  <c r="S89" i="1"/>
  <c r="S141" i="1"/>
  <c r="Q149" i="1"/>
  <c r="S182" i="1"/>
  <c r="S183" i="1"/>
  <c r="S226" i="1"/>
  <c r="S238" i="1"/>
  <c r="M249" i="1"/>
  <c r="M400" i="1" s="1"/>
  <c r="G324" i="1"/>
  <c r="S346" i="1"/>
  <c r="H355" i="1"/>
  <c r="S362" i="1"/>
  <c r="S179" i="1"/>
  <c r="S61" i="1"/>
  <c r="S68" i="1"/>
  <c r="S69" i="1"/>
  <c r="S99" i="1"/>
  <c r="S132" i="1"/>
  <c r="M149" i="1"/>
  <c r="S158" i="1"/>
  <c r="S159" i="1"/>
  <c r="S184" i="1"/>
  <c r="S195" i="1"/>
  <c r="S227" i="1"/>
  <c r="S265" i="1"/>
  <c r="P286" i="1"/>
  <c r="S329" i="1"/>
  <c r="H35" i="1"/>
  <c r="S128" i="1"/>
  <c r="S81" i="1"/>
  <c r="O57" i="1"/>
  <c r="O400" i="1" s="1"/>
  <c r="P93" i="1"/>
  <c r="P400" i="1" s="1"/>
  <c r="S115" i="1"/>
  <c r="P114" i="1"/>
  <c r="N114" i="1"/>
  <c r="S185" i="1"/>
  <c r="S196" i="1"/>
  <c r="S197" i="1"/>
  <c r="O205" i="1"/>
  <c r="H237" i="1"/>
  <c r="S239" i="1"/>
  <c r="Q249" i="1"/>
  <c r="S267" i="1"/>
  <c r="Q324" i="1"/>
  <c r="Q347" i="1"/>
  <c r="S363" i="1"/>
  <c r="I44" i="1"/>
  <c r="S56" i="1"/>
  <c r="S76" i="1"/>
  <c r="S77" i="1"/>
  <c r="Q93" i="1"/>
  <c r="N93" i="1"/>
  <c r="S100" i="1"/>
  <c r="Q114" i="1"/>
  <c r="S125" i="1"/>
  <c r="S169" i="1"/>
  <c r="S199" i="1"/>
  <c r="S216" i="1"/>
  <c r="S243" i="1"/>
  <c r="S250" i="1"/>
  <c r="S287" i="1"/>
  <c r="S301" i="1"/>
  <c r="P299" i="1"/>
  <c r="N299" i="1"/>
  <c r="S330" i="1"/>
  <c r="G347" i="1"/>
  <c r="S350" i="1"/>
  <c r="S364" i="1"/>
  <c r="S111" i="1"/>
  <c r="L114" i="1"/>
  <c r="S123" i="1"/>
  <c r="S139" i="1"/>
  <c r="K149" i="1"/>
  <c r="P175" i="1"/>
  <c r="L205" i="1"/>
  <c r="S241" i="1"/>
  <c r="S251" i="1"/>
  <c r="S282" i="1"/>
  <c r="K299" i="1"/>
  <c r="S304" i="1"/>
  <c r="S332" i="1"/>
  <c r="L355" i="1"/>
  <c r="F44" i="1"/>
  <c r="S236" i="1"/>
  <c r="J237" i="1"/>
  <c r="S242" i="1"/>
  <c r="I249" i="1"/>
  <c r="S269" i="1"/>
  <c r="S293" i="1"/>
  <c r="S315" i="1"/>
  <c r="L324" i="1"/>
  <c r="O355" i="1"/>
  <c r="S369" i="1"/>
  <c r="S112" i="1"/>
  <c r="S124" i="1"/>
  <c r="S140" i="1"/>
  <c r="S176" i="1"/>
  <c r="S189" i="1"/>
  <c r="F200" i="1"/>
  <c r="S201" i="1"/>
  <c r="Q200" i="1"/>
  <c r="S212" i="1"/>
  <c r="S220" i="1"/>
  <c r="S228" i="1"/>
  <c r="K237" i="1"/>
  <c r="S247" i="1"/>
  <c r="S248" i="1"/>
  <c r="S262" i="1"/>
  <c r="G268" i="1"/>
  <c r="P268" i="1"/>
  <c r="S283" i="1"/>
  <c r="S294" i="1"/>
  <c r="S298" i="1"/>
  <c r="S309" i="1"/>
  <c r="S316" i="1"/>
  <c r="O324" i="1"/>
  <c r="S337" i="1"/>
  <c r="S382" i="1"/>
  <c r="S107" i="1"/>
  <c r="S119" i="1"/>
  <c r="S135" i="1"/>
  <c r="S147" i="1"/>
  <c r="L149" i="1"/>
  <c r="S190" i="1"/>
  <c r="S213" i="1"/>
  <c r="S229" i="1"/>
  <c r="S252" i="1"/>
  <c r="Q268" i="1"/>
  <c r="S284" i="1"/>
  <c r="H314" i="1"/>
  <c r="P324" i="1"/>
  <c r="S370" i="1"/>
  <c r="O149" i="1"/>
  <c r="H175" i="1"/>
  <c r="P205" i="1"/>
  <c r="S214" i="1"/>
  <c r="S230" i="1"/>
  <c r="S253" i="1"/>
  <c r="S263" i="1"/>
  <c r="S270" i="1"/>
  <c r="S277" i="1"/>
  <c r="S295" i="1"/>
  <c r="S310" i="1"/>
  <c r="S338" i="1"/>
  <c r="S349" i="1"/>
  <c r="P347" i="1"/>
  <c r="N347" i="1"/>
  <c r="S356" i="1"/>
  <c r="S206" i="1"/>
  <c r="S222" i="1"/>
  <c r="I237" i="1"/>
  <c r="F245" i="1"/>
  <c r="S246" i="1"/>
  <c r="S258" i="1"/>
  <c r="S264" i="1"/>
  <c r="S272" i="1"/>
  <c r="S275" i="1"/>
  <c r="J286" i="1"/>
  <c r="S290" i="1"/>
  <c r="I314" i="1"/>
  <c r="Q321" i="1"/>
  <c r="S321" i="1" s="1"/>
  <c r="H324" i="1"/>
  <c r="O299" i="1"/>
  <c r="S306" i="1"/>
  <c r="J314" i="1"/>
  <c r="S318" i="1"/>
  <c r="S322" i="1"/>
  <c r="S326" i="1"/>
  <c r="S334" i="1"/>
  <c r="S342" i="1"/>
  <c r="O347" i="1"/>
  <c r="S354" i="1"/>
  <c r="I355" i="1"/>
  <c r="S358" i="1"/>
  <c r="S366" i="1"/>
  <c r="S375" i="1"/>
  <c r="S376" i="1"/>
  <c r="S383" i="1"/>
  <c r="S384" i="1"/>
  <c r="S390" i="1"/>
  <c r="V390" i="1" s="1"/>
  <c r="S386" i="1"/>
  <c r="W386" i="1" s="1"/>
  <c r="S240" i="1"/>
  <c r="S259" i="1"/>
  <c r="O268" i="1"/>
  <c r="S276" i="1"/>
  <c r="S279" i="1"/>
  <c r="L286" i="1"/>
  <c r="S291" i="1"/>
  <c r="J355" i="1"/>
  <c r="G200" i="1"/>
  <c r="S218" i="1"/>
  <c r="S234" i="1"/>
  <c r="I245" i="1"/>
  <c r="O249" i="1"/>
  <c r="S254" i="1"/>
  <c r="I274" i="1"/>
  <c r="S280" i="1"/>
  <c r="M286" i="1"/>
  <c r="S292" i="1"/>
  <c r="S307" i="1"/>
  <c r="L314" i="1"/>
  <c r="S319" i="1"/>
  <c r="S323" i="1"/>
  <c r="S327" i="1"/>
  <c r="S335" i="1"/>
  <c r="S343" i="1"/>
  <c r="K355" i="1"/>
  <c r="S359" i="1"/>
  <c r="S367" i="1"/>
  <c r="S378" i="1"/>
  <c r="H200" i="1"/>
  <c r="J205" i="1"/>
  <c r="P249" i="1"/>
  <c r="S260" i="1"/>
  <c r="S266" i="1"/>
  <c r="N286" i="1"/>
  <c r="S300" i="1"/>
  <c r="S308" i="1"/>
  <c r="M314" i="1"/>
  <c r="S320" i="1"/>
  <c r="S328" i="1"/>
  <c r="S336" i="1"/>
  <c r="S344" i="1"/>
  <c r="S348" i="1"/>
  <c r="S360" i="1"/>
  <c r="S368" i="1"/>
  <c r="F274" i="1"/>
  <c r="F278" i="1"/>
  <c r="S278" i="1" s="1"/>
  <c r="F286" i="1"/>
  <c r="S286" i="1" s="1"/>
  <c r="F314" i="1"/>
  <c r="F299" i="1"/>
  <c r="F347" i="1"/>
  <c r="F355" i="1"/>
  <c r="S237" i="1" l="1"/>
  <c r="V237" i="1" s="1"/>
  <c r="S175" i="1"/>
  <c r="S114" i="1"/>
  <c r="Q400" i="1"/>
  <c r="I401" i="1"/>
  <c r="S355" i="1"/>
  <c r="V355" i="1" s="1"/>
  <c r="K401" i="1"/>
  <c r="S62" i="1"/>
  <c r="V62" i="1" s="1"/>
  <c r="J3" i="1"/>
  <c r="J406" i="1" s="1"/>
  <c r="J408" i="1" s="1"/>
  <c r="K3" i="1"/>
  <c r="N3" i="1"/>
  <c r="S149" i="1"/>
  <c r="V149" i="1" s="1"/>
  <c r="Q3" i="1"/>
  <c r="L400" i="1"/>
  <c r="S249" i="1"/>
  <c r="V249" i="1" s="1"/>
  <c r="S268" i="1"/>
  <c r="O3" i="1"/>
  <c r="O388" i="1" s="1"/>
  <c r="L43" i="1"/>
  <c r="L389" i="1" s="1"/>
  <c r="L391" i="1" s="1"/>
  <c r="V114" i="1"/>
  <c r="K388" i="1"/>
  <c r="K391" i="1" s="1"/>
  <c r="K406" i="1"/>
  <c r="K408" i="1" s="1"/>
  <c r="V268" i="1"/>
  <c r="V321" i="1"/>
  <c r="V175" i="1"/>
  <c r="V328" i="1"/>
  <c r="V212" i="1"/>
  <c r="V312" i="1"/>
  <c r="V148" i="1"/>
  <c r="V206" i="1"/>
  <c r="Q406" i="1"/>
  <c r="Q408" i="1" s="1"/>
  <c r="Q388" i="1"/>
  <c r="Q391" i="1" s="1"/>
  <c r="V57" i="1"/>
  <c r="V190" i="1"/>
  <c r="V207" i="1"/>
  <c r="M401" i="1"/>
  <c r="M402" i="1" s="1"/>
  <c r="M403" i="1" s="1"/>
  <c r="V300" i="1"/>
  <c r="V97" i="1"/>
  <c r="V302" i="1"/>
  <c r="V275" i="1"/>
  <c r="V96" i="1"/>
  <c r="V23" i="1"/>
  <c r="V48" i="1"/>
  <c r="V256" i="1"/>
  <c r="S274" i="1"/>
  <c r="V266" i="1"/>
  <c r="V323" i="1"/>
  <c r="V218" i="1"/>
  <c r="V326" i="1"/>
  <c r="V272" i="1"/>
  <c r="V338" i="1"/>
  <c r="V370" i="1"/>
  <c r="V119" i="1"/>
  <c r="V262" i="1"/>
  <c r="V140" i="1"/>
  <c r="V329" i="1"/>
  <c r="V68" i="1"/>
  <c r="V174" i="1"/>
  <c r="V285" i="1"/>
  <c r="V5" i="1"/>
  <c r="V102" i="1"/>
  <c r="V160" i="1"/>
  <c r="V12" i="1"/>
  <c r="P43" i="1"/>
  <c r="P389" i="1" s="1"/>
  <c r="S93" i="1"/>
  <c r="V232" i="1"/>
  <c r="S35" i="1"/>
  <c r="V192" i="1"/>
  <c r="V359" i="1"/>
  <c r="V213" i="1"/>
  <c r="V282" i="1"/>
  <c r="V169" i="1"/>
  <c r="V106" i="1"/>
  <c r="V186" i="1"/>
  <c r="V214" i="1"/>
  <c r="V201" i="1"/>
  <c r="V330" i="1"/>
  <c r="V267" i="1"/>
  <c r="V60" i="1"/>
  <c r="V181" i="1"/>
  <c r="J400" i="1"/>
  <c r="J43" i="1"/>
  <c r="J389" i="1" s="1"/>
  <c r="V257" i="1"/>
  <c r="V92" i="1"/>
  <c r="V259" i="1"/>
  <c r="V290" i="1"/>
  <c r="S200" i="1"/>
  <c r="V241" i="1"/>
  <c r="V132" i="1"/>
  <c r="V180" i="1"/>
  <c r="V54" i="1"/>
  <c r="V51" i="1"/>
  <c r="M43" i="1"/>
  <c r="M389" i="1" s="1"/>
  <c r="V183" i="1"/>
  <c r="V65" i="1"/>
  <c r="V327" i="1"/>
  <c r="J401" i="1"/>
  <c r="V127" i="1"/>
  <c r="V319" i="1"/>
  <c r="V322" i="1"/>
  <c r="V248" i="1"/>
  <c r="V236" i="1"/>
  <c r="V301" i="1"/>
  <c r="V61" i="1"/>
  <c r="V130" i="1"/>
  <c r="S4" i="1"/>
  <c r="F3" i="1"/>
  <c r="V101" i="1"/>
  <c r="V11" i="1"/>
  <c r="V20" i="1"/>
  <c r="V145" i="1"/>
  <c r="Q43" i="1"/>
  <c r="Q389" i="1" s="1"/>
  <c r="V258" i="1"/>
  <c r="V247" i="1"/>
  <c r="F400" i="1"/>
  <c r="S44" i="1"/>
  <c r="F43" i="1"/>
  <c r="V287" i="1"/>
  <c r="V76" i="1"/>
  <c r="V265" i="1"/>
  <c r="V179" i="1"/>
  <c r="V89" i="1"/>
  <c r="V340" i="1"/>
  <c r="V352" i="1"/>
  <c r="V351" i="1"/>
  <c r="V303" i="1"/>
  <c r="O406" i="1"/>
  <c r="O408" i="1" s="1"/>
  <c r="V19" i="1"/>
  <c r="V126" i="1"/>
  <c r="V358" i="1"/>
  <c r="V199" i="1"/>
  <c r="N388" i="1"/>
  <c r="N406" i="1"/>
  <c r="N408" i="1" s="1"/>
  <c r="V58" i="1"/>
  <c r="V26" i="1"/>
  <c r="S347" i="1"/>
  <c r="V298" i="1"/>
  <c r="V158" i="1"/>
  <c r="V269" i="1"/>
  <c r="S314" i="1"/>
  <c r="V226" i="1"/>
  <c r="V334" i="1"/>
  <c r="V176" i="1"/>
  <c r="V182" i="1"/>
  <c r="K400" i="1"/>
  <c r="K43" i="1"/>
  <c r="K389" i="1" s="1"/>
  <c r="V264" i="1"/>
  <c r="V139" i="1"/>
  <c r="V49" i="1"/>
  <c r="G406" i="1"/>
  <c r="G408" i="1" s="1"/>
  <c r="G388" i="1"/>
  <c r="G391" i="1" s="1"/>
  <c r="V383" i="1"/>
  <c r="V112" i="1"/>
  <c r="V129" i="1"/>
  <c r="V307" i="1"/>
  <c r="V246" i="1"/>
  <c r="V284" i="1"/>
  <c r="V337" i="1"/>
  <c r="V369" i="1"/>
  <c r="V250" i="1"/>
  <c r="V56" i="1"/>
  <c r="V185" i="1"/>
  <c r="V227" i="1"/>
  <c r="V362" i="1"/>
  <c r="V88" i="1"/>
  <c r="V80" i="1"/>
  <c r="V305" i="1"/>
  <c r="V143" i="1"/>
  <c r="V29" i="1"/>
  <c r="H400" i="1"/>
  <c r="H43" i="1"/>
  <c r="H389" i="1" s="1"/>
  <c r="G400" i="1"/>
  <c r="G43" i="1"/>
  <c r="G389" i="1" s="1"/>
  <c r="V374" i="1"/>
  <c r="V367" i="1"/>
  <c r="V279" i="1"/>
  <c r="V222" i="1"/>
  <c r="V229" i="1"/>
  <c r="V315" i="1"/>
  <c r="V350" i="1"/>
  <c r="V115" i="1"/>
  <c r="V173" i="1"/>
  <c r="G401" i="1"/>
  <c r="V66" i="1"/>
  <c r="H406" i="1"/>
  <c r="H408" i="1" s="1"/>
  <c r="H388" i="1"/>
  <c r="V254" i="1"/>
  <c r="V356" i="1"/>
  <c r="V251" i="1"/>
  <c r="V238" i="1"/>
  <c r="P406" i="1"/>
  <c r="P408" i="1" s="1"/>
  <c r="P388" i="1"/>
  <c r="P391" i="1" s="1"/>
  <c r="V104" i="1"/>
  <c r="V343" i="1"/>
  <c r="Q401" i="1"/>
  <c r="Q402" i="1" s="1"/>
  <c r="Q403" i="1" s="1"/>
  <c r="V81" i="1"/>
  <c r="V70" i="1"/>
  <c r="V339" i="1"/>
  <c r="V233" i="1"/>
  <c r="V286" i="1"/>
  <c r="V240" i="1"/>
  <c r="V147" i="1"/>
  <c r="V239" i="1"/>
  <c r="V128" i="1"/>
  <c r="V210" i="1"/>
  <c r="V24" i="1"/>
  <c r="V67" i="1"/>
  <c r="V50" i="1"/>
  <c r="V32" i="1"/>
  <c r="H401" i="1"/>
  <c r="V260" i="1"/>
  <c r="V384" i="1"/>
  <c r="V107" i="1"/>
  <c r="V77" i="1"/>
  <c r="V295" i="1"/>
  <c r="V382" i="1"/>
  <c r="V123" i="1"/>
  <c r="V211" i="1"/>
  <c r="V348" i="1"/>
  <c r="V376" i="1"/>
  <c r="V277" i="1"/>
  <c r="L401" i="1"/>
  <c r="L402" i="1" s="1"/>
  <c r="V344" i="1"/>
  <c r="V292" i="1"/>
  <c r="V291" i="1"/>
  <c r="V375" i="1"/>
  <c r="V306" i="1"/>
  <c r="S245" i="1"/>
  <c r="V270" i="1"/>
  <c r="V228" i="1"/>
  <c r="V332" i="1"/>
  <c r="V111" i="1"/>
  <c r="V243" i="1"/>
  <c r="I400" i="1"/>
  <c r="I43" i="1"/>
  <c r="I389" i="1" s="1"/>
  <c r="N401" i="1"/>
  <c r="N402" i="1" s="1"/>
  <c r="N403" i="1" s="1"/>
  <c r="V195" i="1"/>
  <c r="V271" i="1"/>
  <c r="V131" i="1"/>
  <c r="V142" i="1"/>
  <c r="V28" i="1"/>
  <c r="V85" i="1"/>
  <c r="O43" i="1"/>
  <c r="O389" i="1" s="1"/>
  <c r="V146" i="1"/>
  <c r="N43" i="1"/>
  <c r="N389" i="1" s="1"/>
  <c r="F401" i="1"/>
  <c r="V280" i="1"/>
  <c r="V253" i="1"/>
  <c r="V309" i="1"/>
  <c r="V159" i="1"/>
  <c r="V311" i="1"/>
  <c r="V108" i="1"/>
  <c r="V7" i="1"/>
  <c r="I406" i="1"/>
  <c r="I408" i="1" s="1"/>
  <c r="I388" i="1"/>
  <c r="I391" i="1" s="1"/>
  <c r="V320" i="1"/>
  <c r="V276" i="1"/>
  <c r="V230" i="1"/>
  <c r="V293" i="1"/>
  <c r="V281" i="1"/>
  <c r="V103" i="1"/>
  <c r="V105" i="1"/>
  <c r="S299" i="1"/>
  <c r="V354" i="1"/>
  <c r="V294" i="1"/>
  <c r="V125" i="1"/>
  <c r="V53" i="1"/>
  <c r="V308" i="1"/>
  <c r="V283" i="1"/>
  <c r="V45" i="1"/>
  <c r="V381" i="1"/>
  <c r="S205" i="1"/>
  <c r="V335" i="1"/>
  <c r="V342" i="1"/>
  <c r="V189" i="1"/>
  <c r="V100" i="1"/>
  <c r="V99" i="1"/>
  <c r="V325" i="1"/>
  <c r="V152" i="1"/>
  <c r="V144" i="1"/>
  <c r="V278" i="1"/>
  <c r="V234" i="1"/>
  <c r="V349" i="1"/>
  <c r="V135" i="1"/>
  <c r="V242" i="1"/>
  <c r="V69" i="1"/>
  <c r="S324" i="1"/>
  <c r="V368" i="1"/>
  <c r="V310" i="1"/>
  <c r="V124" i="1"/>
  <c r="V197" i="1"/>
  <c r="V141" i="1"/>
  <c r="V157" i="1"/>
  <c r="V360" i="1"/>
  <c r="V318" i="1"/>
  <c r="V196" i="1"/>
  <c r="V336" i="1"/>
  <c r="V378" i="1"/>
  <c r="V366" i="1"/>
  <c r="V263" i="1"/>
  <c r="V252" i="1"/>
  <c r="V316" i="1"/>
  <c r="V220" i="1"/>
  <c r="V304" i="1"/>
  <c r="V364" i="1"/>
  <c r="V216" i="1"/>
  <c r="V363" i="1"/>
  <c r="P401" i="1"/>
  <c r="P402" i="1" s="1"/>
  <c r="V184" i="1"/>
  <c r="V346" i="1"/>
  <c r="O401" i="1"/>
  <c r="O402" i="1" s="1"/>
  <c r="V138" i="1"/>
  <c r="M388" i="1"/>
  <c r="M406" i="1"/>
  <c r="M408" i="1" s="1"/>
  <c r="V27" i="1"/>
  <c r="V331" i="1"/>
  <c r="V74" i="1"/>
  <c r="J388" i="1" l="1"/>
  <c r="J391" i="1" s="1"/>
  <c r="K402" i="1"/>
  <c r="H391" i="1"/>
  <c r="L403" i="1"/>
  <c r="M391" i="1"/>
  <c r="I402" i="1"/>
  <c r="O403" i="1"/>
  <c r="F389" i="1"/>
  <c r="S389" i="1" s="1"/>
  <c r="S43" i="1"/>
  <c r="T93" i="1" s="1"/>
  <c r="P403" i="1"/>
  <c r="H402" i="1"/>
  <c r="H403" i="1" s="1"/>
  <c r="V324" i="1"/>
  <c r="T324" i="1"/>
  <c r="V274" i="1"/>
  <c r="T274" i="1"/>
  <c r="S401" i="1"/>
  <c r="O391" i="1"/>
  <c r="T4" i="1"/>
  <c r="V4" i="1"/>
  <c r="V314" i="1"/>
  <c r="T314" i="1"/>
  <c r="V35" i="1"/>
  <c r="V93" i="1"/>
  <c r="V347" i="1"/>
  <c r="J402" i="1"/>
  <c r="J403" i="1" s="1"/>
  <c r="G402" i="1"/>
  <c r="G403" i="1" s="1"/>
  <c r="K403" i="1"/>
  <c r="N391" i="1"/>
  <c r="V245" i="1"/>
  <c r="T245" i="1"/>
  <c r="I403" i="1"/>
  <c r="T44" i="1"/>
  <c r="V44" i="1"/>
  <c r="F402" i="1"/>
  <c r="F403" i="1" s="1"/>
  <c r="S400" i="1"/>
  <c r="V205" i="1"/>
  <c r="T205" i="1"/>
  <c r="W205" i="1"/>
  <c r="F406" i="1"/>
  <c r="F388" i="1"/>
  <c r="S3" i="1"/>
  <c r="T35" i="1" s="1"/>
  <c r="V200" i="1"/>
  <c r="V299" i="1"/>
  <c r="T200" i="1" l="1"/>
  <c r="T299" i="1"/>
  <c r="T347" i="1"/>
  <c r="W3" i="1"/>
  <c r="V3" i="1"/>
  <c r="T40" i="1"/>
  <c r="T41" i="1"/>
  <c r="T16" i="1"/>
  <c r="T36" i="1"/>
  <c r="T34" i="1"/>
  <c r="T25" i="1"/>
  <c r="T6" i="1"/>
  <c r="T10" i="1"/>
  <c r="T31" i="1"/>
  <c r="T8" i="1"/>
  <c r="T21" i="1"/>
  <c r="T18" i="1"/>
  <c r="T15" i="1"/>
  <c r="T33" i="1"/>
  <c r="T37" i="1"/>
  <c r="T22" i="1"/>
  <c r="T13" i="1"/>
  <c r="T14" i="1"/>
  <c r="T38" i="1"/>
  <c r="T39" i="1"/>
  <c r="T9" i="1"/>
  <c r="T17" i="1"/>
  <c r="T30" i="1"/>
  <c r="T23" i="1"/>
  <c r="T7" i="1"/>
  <c r="T32" i="1"/>
  <c r="T27" i="1"/>
  <c r="T12" i="1"/>
  <c r="T11" i="1"/>
  <c r="T28" i="1"/>
  <c r="T5" i="1"/>
  <c r="T24" i="1"/>
  <c r="T19" i="1"/>
  <c r="T26" i="1"/>
  <c r="T3" i="1" s="1"/>
  <c r="T20" i="1"/>
  <c r="T29" i="1"/>
  <c r="V43" i="1"/>
  <c r="W43" i="1"/>
  <c r="T191" i="1"/>
  <c r="T171" i="1"/>
  <c r="T117" i="1"/>
  <c r="T219" i="1"/>
  <c r="T231" i="1"/>
  <c r="T109" i="1"/>
  <c r="T380" i="1"/>
  <c r="T203" i="1"/>
  <c r="T84" i="1"/>
  <c r="T296" i="1"/>
  <c r="T215" i="1"/>
  <c r="T357" i="1"/>
  <c r="T59" i="1"/>
  <c r="T177" i="1"/>
  <c r="T161" i="1"/>
  <c r="T73" i="1"/>
  <c r="T198" i="1"/>
  <c r="T154" i="1"/>
  <c r="T209" i="1"/>
  <c r="T193" i="1"/>
  <c r="T95" i="1"/>
  <c r="T372" i="1"/>
  <c r="T156" i="1"/>
  <c r="T163" i="1"/>
  <c r="T47" i="1"/>
  <c r="T162" i="1"/>
  <c r="T110" i="1"/>
  <c r="T289" i="1"/>
  <c r="T166" i="1"/>
  <c r="T170" i="1"/>
  <c r="T82" i="1"/>
  <c r="T341" i="1"/>
  <c r="T217" i="1"/>
  <c r="T164" i="1"/>
  <c r="T71" i="1"/>
  <c r="T288" i="1"/>
  <c r="T377" i="1"/>
  <c r="T113" i="1"/>
  <c r="T118" i="1"/>
  <c r="T133" i="1"/>
  <c r="T187" i="1"/>
  <c r="T379" i="1"/>
  <c r="T155" i="1"/>
  <c r="T261" i="1"/>
  <c r="T224" i="1"/>
  <c r="T172" i="1"/>
  <c r="T223" i="1"/>
  <c r="T361" i="1"/>
  <c r="T75" i="1"/>
  <c r="T333" i="1"/>
  <c r="T83" i="1"/>
  <c r="T345" i="1"/>
  <c r="T297" i="1"/>
  <c r="T313" i="1"/>
  <c r="T221" i="1"/>
  <c r="T137" i="1"/>
  <c r="T63" i="1"/>
  <c r="T134" i="1"/>
  <c r="T208" i="1"/>
  <c r="T273" i="1"/>
  <c r="T353" i="1"/>
  <c r="T90" i="1"/>
  <c r="T188" i="1"/>
  <c r="T150" i="1"/>
  <c r="T64" i="1"/>
  <c r="T204" i="1"/>
  <c r="T116" i="1"/>
  <c r="T98" i="1"/>
  <c r="T235" i="1"/>
  <c r="T373" i="1"/>
  <c r="T151" i="1"/>
  <c r="T178" i="1"/>
  <c r="T79" i="1"/>
  <c r="T72" i="1"/>
  <c r="T365" i="1"/>
  <c r="T94" i="1"/>
  <c r="T317" i="1"/>
  <c r="T165" i="1"/>
  <c r="T86" i="1"/>
  <c r="T371" i="1"/>
  <c r="T167" i="1"/>
  <c r="T120" i="1"/>
  <c r="T202" i="1"/>
  <c r="T153" i="1"/>
  <c r="T244" i="1"/>
  <c r="T121" i="1"/>
  <c r="T168" i="1"/>
  <c r="T55" i="1"/>
  <c r="T255" i="1"/>
  <c r="T136" i="1"/>
  <c r="T52" i="1"/>
  <c r="T91" i="1"/>
  <c r="T78" i="1"/>
  <c r="T122" i="1"/>
  <c r="T194" i="1"/>
  <c r="T46" i="1"/>
  <c r="T87" i="1"/>
  <c r="T225" i="1"/>
  <c r="T249" i="1"/>
  <c r="T212" i="1"/>
  <c r="T190" i="1"/>
  <c r="T275" i="1"/>
  <c r="T323" i="1"/>
  <c r="T285" i="1"/>
  <c r="T232" i="1"/>
  <c r="T127" i="1"/>
  <c r="T61" i="1"/>
  <c r="T145" i="1"/>
  <c r="T76" i="1"/>
  <c r="T199" i="1"/>
  <c r="T383" i="1"/>
  <c r="T337" i="1"/>
  <c r="T362" i="1"/>
  <c r="T128" i="1"/>
  <c r="T260" i="1"/>
  <c r="T344" i="1"/>
  <c r="T228" i="1"/>
  <c r="T195" i="1"/>
  <c r="T368" i="1"/>
  <c r="T360" i="1"/>
  <c r="T315" i="1"/>
  <c r="T62" i="1"/>
  <c r="T146" i="1"/>
  <c r="T159" i="1"/>
  <c r="T276" i="1"/>
  <c r="T100" i="1"/>
  <c r="T234" i="1"/>
  <c r="T310" i="1"/>
  <c r="T252" i="1"/>
  <c r="T311" i="1"/>
  <c r="T354" i="1"/>
  <c r="T318" i="1"/>
  <c r="T192" i="1"/>
  <c r="T186" i="1"/>
  <c r="T322" i="1"/>
  <c r="T226" i="1"/>
  <c r="T374" i="1"/>
  <c r="T286" i="1"/>
  <c r="T131" i="1"/>
  <c r="T102" i="1"/>
  <c r="T241" i="1"/>
  <c r="T247" i="1"/>
  <c r="T56" i="1"/>
  <c r="T108" i="1"/>
  <c r="T220" i="1"/>
  <c r="T256" i="1"/>
  <c r="T272" i="1"/>
  <c r="T160" i="1"/>
  <c r="T185" i="1"/>
  <c r="T152" i="1"/>
  <c r="T242" i="1"/>
  <c r="T340" i="1"/>
  <c r="T173" i="1"/>
  <c r="T147" i="1"/>
  <c r="T50" i="1"/>
  <c r="T295" i="1"/>
  <c r="T287" i="1"/>
  <c r="T237" i="1"/>
  <c r="T238" i="1"/>
  <c r="T144" i="1"/>
  <c r="T69" i="1"/>
  <c r="T222" i="1"/>
  <c r="T182" i="1"/>
  <c r="T229" i="1"/>
  <c r="T309" i="1"/>
  <c r="T105" i="1"/>
  <c r="T189" i="1"/>
  <c r="T278" i="1"/>
  <c r="T216" i="1"/>
  <c r="T268" i="1"/>
  <c r="T119" i="1"/>
  <c r="T169" i="1"/>
  <c r="T267" i="1"/>
  <c r="T259" i="1"/>
  <c r="T51" i="1"/>
  <c r="T319" i="1"/>
  <c r="T303" i="1"/>
  <c r="T269" i="1"/>
  <c r="T123" i="1"/>
  <c r="T363" i="1"/>
  <c r="T233" i="1"/>
  <c r="T271" i="1"/>
  <c r="T230" i="1"/>
  <c r="T45" i="1"/>
  <c r="T349" i="1"/>
  <c r="T381" i="1"/>
  <c r="T99" i="1"/>
  <c r="T331" i="1"/>
  <c r="T58" i="1"/>
  <c r="T343" i="1"/>
  <c r="T355" i="1"/>
  <c r="T316" i="1"/>
  <c r="T183" i="1"/>
  <c r="T348" i="1"/>
  <c r="T125" i="1"/>
  <c r="T359" i="1"/>
  <c r="T214" i="1"/>
  <c r="T77" i="1"/>
  <c r="T281" i="1"/>
  <c r="T197" i="1"/>
  <c r="T329" i="1"/>
  <c r="T65" i="1"/>
  <c r="T279" i="1"/>
  <c r="T53" i="1"/>
  <c r="T338" i="1"/>
  <c r="T213" i="1"/>
  <c r="T327" i="1"/>
  <c r="T103" i="1"/>
  <c r="T141" i="1"/>
  <c r="T304" i="1"/>
  <c r="T68" i="1"/>
  <c r="T277" i="1"/>
  <c r="T370" i="1"/>
  <c r="T54" i="1"/>
  <c r="T158" i="1"/>
  <c r="T339" i="1"/>
  <c r="T382" i="1"/>
  <c r="T320" i="1"/>
  <c r="T283" i="1"/>
  <c r="T263" i="1"/>
  <c r="T96" i="1"/>
  <c r="T130" i="1"/>
  <c r="T265" i="1"/>
  <c r="T112" i="1"/>
  <c r="T369" i="1"/>
  <c r="T88" i="1"/>
  <c r="T210" i="1"/>
  <c r="T292" i="1"/>
  <c r="T129" i="1"/>
  <c r="T293" i="1"/>
  <c r="T124" i="1"/>
  <c r="T140" i="1"/>
  <c r="T107" i="1"/>
  <c r="T184" i="1"/>
  <c r="T300" i="1"/>
  <c r="T101" i="1"/>
  <c r="T334" i="1"/>
  <c r="T305" i="1"/>
  <c r="T115" i="1"/>
  <c r="T67" i="1"/>
  <c r="T243" i="1"/>
  <c r="T142" i="1"/>
  <c r="T206" i="1"/>
  <c r="T236" i="1"/>
  <c r="T49" i="1"/>
  <c r="T251" i="1"/>
  <c r="T376" i="1"/>
  <c r="T280" i="1"/>
  <c r="T126" i="1"/>
  <c r="T175" i="1"/>
  <c r="T201" i="1"/>
  <c r="T298" i="1"/>
  <c r="T302" i="1"/>
  <c r="T352" i="1"/>
  <c r="T227" i="1"/>
  <c r="T239" i="1"/>
  <c r="T312" i="1"/>
  <c r="T207" i="1"/>
  <c r="T218" i="1"/>
  <c r="T262" i="1"/>
  <c r="T106" i="1"/>
  <c r="T60" i="1"/>
  <c r="T290" i="1"/>
  <c r="T258" i="1"/>
  <c r="T179" i="1"/>
  <c r="T264" i="1"/>
  <c r="T250" i="1"/>
  <c r="T350" i="1"/>
  <c r="T254" i="1"/>
  <c r="T104" i="1"/>
  <c r="T384" i="1"/>
  <c r="T211" i="1"/>
  <c r="T291" i="1"/>
  <c r="T332" i="1"/>
  <c r="T80" i="1"/>
  <c r="T294" i="1"/>
  <c r="T196" i="1"/>
  <c r="T326" i="1"/>
  <c r="T181" i="1"/>
  <c r="T248" i="1"/>
  <c r="T307" i="1"/>
  <c r="T367" i="1"/>
  <c r="T356" i="1"/>
  <c r="T111" i="1"/>
  <c r="T325" i="1"/>
  <c r="T89" i="1"/>
  <c r="T139" i="1"/>
  <c r="T336" i="1"/>
  <c r="T97" i="1"/>
  <c r="T143" i="1"/>
  <c r="T132" i="1"/>
  <c r="T176" i="1"/>
  <c r="T246" i="1"/>
  <c r="T306" i="1"/>
  <c r="T378" i="1"/>
  <c r="T114" i="1"/>
  <c r="T266" i="1"/>
  <c r="T180" i="1"/>
  <c r="T358" i="1"/>
  <c r="T66" i="1"/>
  <c r="T70" i="1"/>
  <c r="T270" i="1"/>
  <c r="T85" i="1"/>
  <c r="T308" i="1"/>
  <c r="T157" i="1"/>
  <c r="T366" i="1"/>
  <c r="T364" i="1"/>
  <c r="T138" i="1"/>
  <c r="T174" i="1"/>
  <c r="T282" i="1"/>
  <c r="T92" i="1"/>
  <c r="T149" i="1"/>
  <c r="T148" i="1"/>
  <c r="T240" i="1"/>
  <c r="T135" i="1"/>
  <c r="T48" i="1"/>
  <c r="T375" i="1"/>
  <c r="T335" i="1"/>
  <c r="T74" i="1"/>
  <c r="T321" i="1"/>
  <c r="T81" i="1"/>
  <c r="T346" i="1"/>
  <c r="T257" i="1"/>
  <c r="T301" i="1"/>
  <c r="T253" i="1"/>
  <c r="T342" i="1"/>
  <c r="T57" i="1"/>
  <c r="T330" i="1"/>
  <c r="T284" i="1"/>
  <c r="T328" i="1"/>
  <c r="T351" i="1"/>
  <c r="F408" i="1"/>
  <c r="S406" i="1"/>
  <c r="S407" i="1" s="1"/>
  <c r="S408" i="1" s="1"/>
  <c r="S402" i="1"/>
  <c r="S403" i="1" s="1"/>
  <c r="T400" i="1"/>
  <c r="F391" i="1"/>
  <c r="F396" i="1" s="1"/>
  <c r="S388" i="1"/>
  <c r="S393" i="1"/>
  <c r="V389" i="1"/>
  <c r="T43" i="1" l="1"/>
  <c r="S392" i="1"/>
  <c r="S391" i="1"/>
  <c r="V388" i="1"/>
  <c r="T401" i="1"/>
  <c r="T402" i="1" s="1"/>
  <c r="G395" i="1"/>
  <c r="G396" i="1" s="1"/>
  <c r="F397" i="1"/>
  <c r="G397" i="1" l="1"/>
  <c r="H395" i="1"/>
  <c r="H396" i="1" s="1"/>
  <c r="V391" i="1"/>
  <c r="S394" i="1"/>
  <c r="S396" i="1"/>
  <c r="I395" i="1" l="1"/>
  <c r="I396" i="1" s="1"/>
  <c r="H397" i="1"/>
  <c r="J395" i="1" l="1"/>
  <c r="J396" i="1" s="1"/>
  <c r="I397" i="1"/>
  <c r="J397" i="1" l="1"/>
  <c r="K395" i="1"/>
  <c r="K396" i="1" s="1"/>
  <c r="K397" i="1" l="1"/>
  <c r="L395" i="1"/>
  <c r="L396" i="1" s="1"/>
  <c r="L397" i="1" l="1"/>
  <c r="M395" i="1"/>
  <c r="M396" i="1" s="1"/>
  <c r="M397" i="1" l="1"/>
  <c r="N395" i="1"/>
  <c r="N396" i="1" s="1"/>
  <c r="N397" i="1" l="1"/>
  <c r="O395" i="1"/>
  <c r="O396" i="1" s="1"/>
  <c r="O397" i="1" l="1"/>
  <c r="P395" i="1"/>
  <c r="P396" i="1" s="1"/>
  <c r="Q395" i="1" l="1"/>
  <c r="Q396" i="1" s="1"/>
  <c r="Q397" i="1" s="1"/>
  <c r="P39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V. M. Scola | FPGolfe</author>
  </authors>
  <commentList>
    <comment ref="D20" authorId="0" shapeId="0" xr:uid="{50BC0698-0EE7-4CD5-9375-D2A073DB884E}">
      <text>
        <r>
          <rPr>
            <b/>
            <sz val="9"/>
            <color indexed="81"/>
            <rFont val="Segoe UI"/>
            <family val="2"/>
          </rPr>
          <t>Sandra V. M. Scola | FPGolfe:</t>
        </r>
        <r>
          <rPr>
            <sz val="9"/>
            <color indexed="81"/>
            <rFont val="Segoe UI"/>
            <family val="2"/>
          </rPr>
          <t xml:space="preserve">
Mesma base de 2025</t>
        </r>
      </text>
    </comment>
  </commentList>
</comments>
</file>

<file path=xl/sharedStrings.xml><?xml version="1.0" encoding="utf-8"?>
<sst xmlns="http://schemas.openxmlformats.org/spreadsheetml/2006/main" count="469" uniqueCount="377">
  <si>
    <t>CONSOLIDADO</t>
  </si>
  <si>
    <t>DESCRIÇÃO DA CONTA</t>
  </si>
  <si>
    <t>ATIV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</si>
  <si>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</si>
  <si>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</si>
  <si>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</si>
  <si>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</si>
  <si>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</si>
  <si>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</si>
  <si>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</si>
  <si>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</si>
  <si>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</si>
  <si>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</si>
  <si>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</si>
  <si>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</si>
  <si>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
2026</t>
  </si>
  <si>
    <t>RECEITAS TOTAIS</t>
  </si>
  <si>
    <t>3.1.01.01.01</t>
  </si>
  <si>
    <t>RECEITAS SOCIAIS</t>
  </si>
  <si>
    <t>RECEITA DE LOCACAO DE MATERIAIS E EQUIPAMENTOS</t>
  </si>
  <si>
    <t>RECEITA DE LOCACAO DE ESPACOS</t>
  </si>
  <si>
    <t>* FILIACAO DIRETA - JOGADORES</t>
  </si>
  <si>
    <t>TAXA DE ANUIDADE - CLUBES</t>
  </si>
  <si>
    <t>TAXA FPGOLFE - CLUBES</t>
  </si>
  <si>
    <t>* TAXA DESENVOLVIMENTO JUVENIL
(efeito nulo. Em "DESP DES JUV")</t>
  </si>
  <si>
    <t>DRIVING</t>
  </si>
  <si>
    <t>GREEN-FEE</t>
  </si>
  <si>
    <t>PLANOS / INSTRUTOR</t>
  </si>
  <si>
    <t>EVENTOS</t>
  </si>
  <si>
    <t>TAXA BOLETO</t>
  </si>
  <si>
    <t>DOAÇÕES EVENTOS SOLIDÁRIOS</t>
  </si>
  <si>
    <t>RECEITAS ARTIGOS ESPORTIVOS</t>
  </si>
  <si>
    <t>PATROCINIO | Mazars (efeito nulo)</t>
  </si>
  <si>
    <t>DESENVOLVIMENTO PROJETOS FPG/CBG- RECEITAS</t>
  </si>
  <si>
    <t>RECEITAS - FURAÇÕES CAMPO (efeito nulo)</t>
  </si>
  <si>
    <t>RECEITAS - INSCRIÇÕES -PALESTRA CAMPO</t>
  </si>
  <si>
    <t>VALLET</t>
  </si>
  <si>
    <t>TOTALPASS</t>
  </si>
  <si>
    <t>* MENSALIDADE | Recup. Judicial | FERNANDO F PADUA SOARES</t>
  </si>
  <si>
    <t>VEICULAÇÃO DE PUBLICIDADE | BRAVO ID</t>
  </si>
  <si>
    <t>3.1.01.01.02</t>
  </si>
  <si>
    <t>CAMPEONATOS E TORNEIOS</t>
  </si>
  <si>
    <t>INSCRICOES MASCULINO ADULTO</t>
  </si>
  <si>
    <t>INSCRICOES FEMININO ADULTO</t>
  </si>
  <si>
    <t>INSCRICOES MASCULINO JUVENIL</t>
  </si>
  <si>
    <t>INSCRICOES FEMININO JUVENIL</t>
  </si>
  <si>
    <t>PATROCINIO 1</t>
  </si>
  <si>
    <t>RECUPERAÇÃO DE CUSTOS</t>
  </si>
  <si>
    <t>INSCRIÇÕES GOLFE SOLIDARIO</t>
  </si>
  <si>
    <t>TAXA DE INGRESSO DE CLUBES</t>
  </si>
  <si>
    <t>3.1.01.01.04</t>
  </si>
  <si>
    <t>CAMPEONATOS E TORNEIOS - JUVENIL</t>
  </si>
  <si>
    <t>TAXA DESENVOLVIMETO</t>
  </si>
  <si>
    <t>4</t>
  </si>
  <si>
    <t>CUSTOS E DESPESAS TOTAIS</t>
  </si>
  <si>
    <t>4.1.01.01</t>
  </si>
  <si>
    <t>CUSTOS COM PESSOAL</t>
  </si>
  <si>
    <t>M</t>
  </si>
  <si>
    <t>CUSTO - SALARIOS</t>
  </si>
  <si>
    <t>CUSTO - 13º SALARIO</t>
  </si>
  <si>
    <t>CUSTO - FERIAS</t>
  </si>
  <si>
    <t>CUSTO - INDENIZACOES TRABALHISTAS</t>
  </si>
  <si>
    <t>CUSTO - GRATIFICACOES</t>
  </si>
  <si>
    <t>CUSTO - HORA EXTRA</t>
  </si>
  <si>
    <t>CUSTO - AUXILIO DOENCA</t>
  </si>
  <si>
    <t>CUSTO - AVISO PREVIO</t>
  </si>
  <si>
    <t>CUSTO - AJUDA DE CUSTO</t>
  </si>
  <si>
    <t>CUSTO - ADICIONAL DE INSALUBRIDADE</t>
  </si>
  <si>
    <t>CUSTO - DESCANSO SEM REMUNERAÇÃO</t>
  </si>
  <si>
    <t>(-) DESCONTOS DIVERSOS</t>
  </si>
  <si>
    <t>4.1.01.01.02</t>
  </si>
  <si>
    <r>
      <t>ENCARGOS SOCIAIS (</t>
    </r>
    <r>
      <rPr>
        <b/>
        <u/>
        <sz val="8"/>
        <color rgb="FF000000"/>
        <rFont val="Arial Nova Cond"/>
        <family val="2"/>
      </rPr>
      <t>NÃO UTILIZAR ESTE</t>
    </r>
    <r>
      <rPr>
        <b/>
        <sz val="8"/>
        <color rgb="FF000000"/>
        <rFont val="Arial Nova Cond"/>
        <family val="2"/>
      </rPr>
      <t>)</t>
    </r>
  </si>
  <si>
    <t>CUSTO - INSS</t>
  </si>
  <si>
    <t>CUSTO - FGTS</t>
  </si>
  <si>
    <t>CUSTO - INSS SOBRE AUTONOMOS</t>
  </si>
  <si>
    <t>CUSTO - PIS S/ FOLHA</t>
  </si>
  <si>
    <t>4.1.01.01.03</t>
  </si>
  <si>
    <t>BENEFICIOS</t>
  </si>
  <si>
    <t>CUSTO - VALE TRANSPORTE</t>
  </si>
  <si>
    <t>CUSTO - VALE REFEICAO</t>
  </si>
  <si>
    <t>CUSTO - VALE ALIMENTACAO</t>
  </si>
  <si>
    <t>CUSTO - SEGURO DE VIDA</t>
  </si>
  <si>
    <t>CUSTO - ASSISTENCIA MEDICA</t>
  </si>
  <si>
    <t>CUSTO - ASSISTENCIA ODONTOLOGICA</t>
  </si>
  <si>
    <t>CUSTO - SEGURO SAUDE</t>
  </si>
  <si>
    <t>CUSTO - PREVIDENCIA PRIVADA</t>
  </si>
  <si>
    <t>CUSTO - CESTA BÁSICA/CESTA DE NATAL</t>
  </si>
  <si>
    <t>CUSTO - PROVISAO DE FERIAS</t>
  </si>
  <si>
    <t>CUSTO - PROVISAO DE INSS S/ FERIAS</t>
  </si>
  <si>
    <t>CUSTO - PROVISAO DE FGTS S/ FERIAS</t>
  </si>
  <si>
    <t>CUSTO - PROVISAO DE PIS S/ FERIAS</t>
  </si>
  <si>
    <t>CUSTO - PROVISAO DE 13° SALARIO</t>
  </si>
  <si>
    <t>CUSTO - PROVISAO DE INSS S/ 13° SALARIO</t>
  </si>
  <si>
    <t>CUSTO - PROVISAO DE FGTS S/ 13° SALARIO</t>
  </si>
  <si>
    <t>CUSTO - PROVISAO DE PIS S/ 13° SALARIO</t>
  </si>
  <si>
    <t xml:space="preserve">CUSTO - HORA EXTRA </t>
  </si>
  <si>
    <t>(-)  FALTAS E ATRASOS</t>
  </si>
  <si>
    <t>4.1.01.01.06</t>
  </si>
  <si>
    <t>ENCARGOS SOCIAIS</t>
  </si>
  <si>
    <t>CUSTO - INSS + Acidente de Trabalho + Terceiros + SAT</t>
  </si>
  <si>
    <t>4.1.01.02</t>
  </si>
  <si>
    <t>CUSTO DIRETO COM CAMPEONATOS E TORNEIOS</t>
  </si>
  <si>
    <t>F</t>
  </si>
  <si>
    <t>ARBITRAGEM ( AJUDA DE CUSTOS)</t>
  </si>
  <si>
    <t>DESPESAS ALIMENTACAO STAFF</t>
  </si>
  <si>
    <t>DESPESAS COM TRANSPORTES STAFF</t>
  </si>
  <si>
    <t>PASSAGENS AEREAS</t>
  </si>
  <si>
    <t>ESTADIAS</t>
  </si>
  <si>
    <t>DESPESAS COM EVENTOS, Melhores do Ano</t>
  </si>
  <si>
    <t>DRIVING RANGE</t>
  </si>
  <si>
    <t>CAFE DA MANHA/ ALMOCO/ JANTAR</t>
  </si>
  <si>
    <t>AGUA E FRUTA NO CAMPO</t>
  </si>
  <si>
    <t>UNIFORMES/CAMISETAS/BONES</t>
  </si>
  <si>
    <t>TRANSPORTES</t>
  </si>
  <si>
    <t>LOCAÇÃO DE VEÍCULOS</t>
  </si>
  <si>
    <t>TAÇAS</t>
  </si>
  <si>
    <t>LOCAÇÃO DE CAMPO / INSCRIÇÕES</t>
  </si>
  <si>
    <t>PLACAR DE RESULTADOS (FIXO E MÓVEL)</t>
  </si>
  <si>
    <t>LOCAÇÃO GOLF CART</t>
  </si>
  <si>
    <t>COLETA E EXAMES ANTI DOPPING</t>
  </si>
  <si>
    <t>AMBULÂNCIA</t>
  </si>
  <si>
    <t>COQUETEL ENCERRAMENTO</t>
  </si>
  <si>
    <t>PAPELARIA (CARTÕES, BANNERS, POSTERS)</t>
  </si>
  <si>
    <t>MERCHANDISING</t>
  </si>
  <si>
    <t>SERVIÇOS DE TERCEIROS</t>
  </si>
  <si>
    <t>DESPESAS ADMINISTRATIVAS STAFF</t>
  </si>
  <si>
    <t>DESPESAS DE ALIMENTAÇÃO COM IMPRENSA</t>
  </si>
  <si>
    <t>IMPRENSA</t>
  </si>
  <si>
    <t>RADIOS COMUNICADORES</t>
  </si>
  <si>
    <t>SONORIZAÇÃO</t>
  </si>
  <si>
    <t>SEGURO</t>
  </si>
  <si>
    <t>OUTRAS DESPESAS
CONTRA PARTIDA DA INSC. MASCULINO ADULTO</t>
  </si>
  <si>
    <t>BENEFÍCIOS DO RANKING NACIONAL 
TORNEIOS FEMININOS</t>
  </si>
  <si>
    <t>BENEFÍCIOS DO RANKING PAULISTA
Apropriação do saldo da projeção de 2025</t>
  </si>
  <si>
    <t>4.1.01.04.01</t>
  </si>
  <si>
    <t>DESENVOLVIMENTO GOLFE</t>
  </si>
  <si>
    <t>BENEFICIOS DO RANKING NACIONAL</t>
  </si>
  <si>
    <t>BENEFICIOS DE RANKING PAULISTA</t>
  </si>
  <si>
    <t>4.1.01.05.01</t>
  </si>
  <si>
    <t>NOVOS PROJETOS</t>
  </si>
  <si>
    <t>PROJETO DE MAQUINAS DE CAMPO | Contra partida da Receita - Furação de campo</t>
  </si>
  <si>
    <t>DESPESA - SALARIOS</t>
  </si>
  <si>
    <t>DESPESA - 13º SALARIO</t>
  </si>
  <si>
    <t>DESPESA - FERIAS</t>
  </si>
  <si>
    <t>DESPESA - INDENIZACOES TRABALHISTAS</t>
  </si>
  <si>
    <t>DESPESA - PREMIOS E GRATIFICACOES</t>
  </si>
  <si>
    <t>DESPESA - GRATIFICACOES</t>
  </si>
  <si>
    <t>DESPESA - AUXILIO MATERNIDADE</t>
  </si>
  <si>
    <t>DESPESA - COMISSOES DE VENDAS</t>
  </si>
  <si>
    <t>DESPESA - AUXILIO CRECHE / ESCOLA</t>
  </si>
  <si>
    <t>DESPESA - BOLSAS DE ESTUDOS</t>
  </si>
  <si>
    <t>DESPESA - UNIFORMES E VESTUARIO</t>
  </si>
  <si>
    <t>DESPESA - TREINAMENTOS / COACHING</t>
  </si>
  <si>
    <t>DESPESA - ADICIONAL NOTURNO</t>
  </si>
  <si>
    <t>DESPESA - HORA EXTRA</t>
  </si>
  <si>
    <t>DESPESA - PARTICIPACAO DE LUCROS PARA COLABORADORES</t>
  </si>
  <si>
    <t>DESPESA - PRO-LABORE</t>
  </si>
  <si>
    <t>DESPESA - AUXILIO DOENCA</t>
  </si>
  <si>
    <t>DESPESA - AVISO PREVIO</t>
  </si>
  <si>
    <t>DESPESA - AJUDA DE DESPESA</t>
  </si>
  <si>
    <t>DESPESA - ADICIONAL DE INSALUBRIDADE</t>
  </si>
  <si>
    <t>DESPESA - DSR</t>
  </si>
  <si>
    <t>ACORDO TRABALHISTA</t>
  </si>
  <si>
    <t>DESPESA - MEDICINA DO TRABALHO</t>
  </si>
  <si>
    <t>4.2.01.01.02</t>
  </si>
  <si>
    <t>SERVICOS TERCEIRIZADOS</t>
  </si>
  <si>
    <t xml:space="preserve">DESPESA - ASSESSORIA NA REALIZACAO DE EVENTOS
AUXILIO NAS COMPETIÇÕES DA FEDERAÇÃO </t>
  </si>
  <si>
    <t>DESPESA - COMERCIAL</t>
  </si>
  <si>
    <t>DESPESA - SERVICOS TERCEIROS</t>
  </si>
  <si>
    <t>DESPESA - INSS</t>
  </si>
  <si>
    <t>DESPESA - FGTS</t>
  </si>
  <si>
    <t>DESPESA - INSS SOBRE AUTONOMOS</t>
  </si>
  <si>
    <t>DESPESA - PIS S/ FOLHA</t>
  </si>
  <si>
    <t>DESPESA - VALE TRANSPORTE</t>
  </si>
  <si>
    <t>DESPESA - VALE REFEICAO</t>
  </si>
  <si>
    <t>DESPESA - VALE ALIMENTACAO</t>
  </si>
  <si>
    <t>DESPESA - SEGURO DE VIDA</t>
  </si>
  <si>
    <t>DESPESA - ASSISTENCIA MEDICA</t>
  </si>
  <si>
    <t>DESPESA - ASSISTENCIA ODONTOLOGICA</t>
  </si>
  <si>
    <t>DESPESA - SEGURO SAUDE</t>
  </si>
  <si>
    <t>DESPESA - PREVIDENCIA PRIVADA</t>
  </si>
  <si>
    <t>DESPESA - CESTA BÁSICA/CESTA DE NATAL</t>
  </si>
  <si>
    <t>DESPESA - PROVISAO DE FERIAS</t>
  </si>
  <si>
    <t>DESPESA - PROVISAO DE INSS S/ FERIAS</t>
  </si>
  <si>
    <t>DESPESA - PROVISAO DE FGTS S/ FERIAS</t>
  </si>
  <si>
    <t>DESPESA - PROVISAO DE PIS S/ FERIAS</t>
  </si>
  <si>
    <t>DESPESA - PROVISAO DE 13° SALARIO</t>
  </si>
  <si>
    <t>DESPESA - PROVISAO DE INSS S/ 13° SALARIO</t>
  </si>
  <si>
    <t>DESPESA - PROVISAO DE FGTS S/ 13° SALARIO</t>
  </si>
  <si>
    <t>DESPESA - PROVISAO DE PIS S/ 13° SALARIO</t>
  </si>
  <si>
    <t>4.2.01.02.01</t>
  </si>
  <si>
    <t>DESPESAS COM VENDAS</t>
  </si>
  <si>
    <t>DESPESA - PROPAGANDA</t>
  </si>
  <si>
    <t>DESPESA - PUBLICIDADE</t>
  </si>
  <si>
    <t>DESPESA - EVENTOS</t>
  </si>
  <si>
    <t>DESPESA - MARKETING</t>
  </si>
  <si>
    <t>4.2.01.02.02</t>
  </si>
  <si>
    <t>DESPESAS COM DESENVOLVIMENTO JUVENIL</t>
  </si>
  <si>
    <t>PASSAGENS AEREAS
TORNEIO JUVENIL DO ESTADO DE SP (TOUR JUVENIL)
Deslocamento e taças - 20 a 25 juvenis</t>
  </si>
  <si>
    <t>DESPESAS COM EVENTOS</t>
  </si>
  <si>
    <t>OUTRAS DESPESAS</t>
  </si>
  <si>
    <t>DESPESA -  PROJETO CLUBE-ESCOLA</t>
  </si>
  <si>
    <t>DESPESA -  NOVOS PROJETOS</t>
  </si>
  <si>
    <t>DESPESA - UNIFORMES JUVENIS</t>
  </si>
  <si>
    <t>DESPESA - JUVENIS TORNEIOS ADULTOS</t>
  </si>
  <si>
    <t>DESPESA - DESENVOLVIMENTO PROJETOS FPG/CBG- JUVENIL
CAMPEONATOS JUVENIS CONSOLIDADOS</t>
  </si>
  <si>
    <t>DESPESA -  BENEFÍCIOS DO RANKING NACIONAL
CONTRA PARTIDA DA INSC. FEMININO JUVENIL</t>
  </si>
  <si>
    <t>DESPESA -  BENEFÍCIOS DO RANKING PAULISTA
PROJETO DES JUV 2025</t>
  </si>
  <si>
    <t>DESPESA - PREMIAÇÃO</t>
  </si>
  <si>
    <t>4.2.01.03.01</t>
  </si>
  <si>
    <t>ALUGUEL E MANUTENÇÃO DO PRÉDIO</t>
  </si>
  <si>
    <t>DESPESA - ALUGUEL</t>
  </si>
  <si>
    <t>DESPESA - CONDOMINIO</t>
  </si>
  <si>
    <t>DESPESA - AGUA E ESGOTO</t>
  </si>
  <si>
    <t>DESPESA - ENERGIA ELETRICA</t>
  </si>
  <si>
    <t>DESPESA - IPTU</t>
  </si>
  <si>
    <t>DESPESA - SEGURO PRÉDIO (6 parcelas)</t>
  </si>
  <si>
    <t>DESPESA - MATERIAL MANUTENÇÃO DRIVE RANGE</t>
  </si>
  <si>
    <t>4.2.01.03.02</t>
  </si>
  <si>
    <t>GASTOS GERAIS DE OCUPACAO</t>
  </si>
  <si>
    <t>DESPESA - TELEFONIA FIXA</t>
  </si>
  <si>
    <t>DESPESA - TELEFONIA MOVEL</t>
  </si>
  <si>
    <t>DESPESA - INTERNET</t>
  </si>
  <si>
    <t>4.2.01.04.01</t>
  </si>
  <si>
    <t>SERVICOS DE TERCEIROS</t>
  </si>
  <si>
    <t>DESPESA - SERVICOS DE ASSESSORIA TECNICA</t>
  </si>
  <si>
    <t>DESPESA - SERVICOS DE AUDITORIA</t>
  </si>
  <si>
    <t>DESPESA - SERVICOS DE CONSULTORIA JURIDICA</t>
  </si>
  <si>
    <t>DESPESA - SERVICOS DE LIMPEZA</t>
  </si>
  <si>
    <t>DESPESA - SERVICOS DE PROCESSAMENTO DE DADOS</t>
  </si>
  <si>
    <t>DESPESA - SERVICOS DE PROPAGANDA E PUBLICIDADE</t>
  </si>
  <si>
    <t>DESPESA - SERVICOS DE RECRUTAMENTO E SELECAO, Líder Saude</t>
  </si>
  <si>
    <t>DESPESA - SERVICOS DE SEGURANCA</t>
  </si>
  <si>
    <t>DESPESA - SERVICOS DE TERCEIRIZACAO CONTABIL, contrapartida Mazars</t>
  </si>
  <si>
    <t>DESPESA - SERVICOS DE TRANSPORTE MOTOBOY</t>
  </si>
  <si>
    <t>DESPESA - SERVICOS PRESTADOS PESSOA FISICA, Maria Bandeira</t>
  </si>
  <si>
    <t>400169 HSP</t>
  </si>
  <si>
    <t>DESPESA - SERVICOS PRESTADOS PJ / SUPERTACADA</t>
  </si>
  <si>
    <t>DESPESA - SERVICOS DE COMUNICACAO/ 
COORD MKT</t>
  </si>
  <si>
    <t>DESPESA - SERVICO DE TECNOLOGIA DA INFORMACAO (TI)
instalaçãoo e Rede FPGolfe</t>
  </si>
  <si>
    <t>DESPESA - SERVICOS GRAFICOS</t>
  </si>
  <si>
    <t>DESPESA - SERVICOS DE ARMAZENAGEM DE ARQUIVOS</t>
  </si>
  <si>
    <t>DESPESA - SERVICO ASSESSORIA DE IMPRENSA</t>
  </si>
  <si>
    <t>4.2.01.04.02</t>
  </si>
  <si>
    <t>MATERIAL CONSUMO</t>
  </si>
  <si>
    <t>DESPESA - MATERIAL DE LIMPEZA</t>
  </si>
  <si>
    <t>DESPESA - MATERIAL DE ESCRITORIO</t>
  </si>
  <si>
    <t>DESPESA - MATERIAL DE COPA</t>
  </si>
  <si>
    <t>DESPESA - MATERIAIS DE CONSUMO</t>
  </si>
  <si>
    <t>DESPESA - MATERIAL DE EXPEDIENTE</t>
  </si>
  <si>
    <t>4.2.01.04.03</t>
  </si>
  <si>
    <t>LOCACOES</t>
  </si>
  <si>
    <t>DESPESA - LOCACAO DE EQUIPAMENTOS</t>
  </si>
  <si>
    <t>DESPESA - LOCACAO DE VEICULOS</t>
  </si>
  <si>
    <t>DESPESA - LOCAÇÃO DE DRIVE RANGE</t>
  </si>
  <si>
    <t>4.2.01.04.04</t>
  </si>
  <si>
    <t>VIAGENS</t>
  </si>
  <si>
    <t>DESPESA - HOSPEDAGEM / ESTADIA</t>
  </si>
  <si>
    <t>DESPESA - ESTACIONAMENTO E PEDAGIO</t>
  </si>
  <si>
    <t>DESPESA - CONDUCAO E KILOMETRAGEM</t>
  </si>
  <si>
    <t>DESPESA - TAXI</t>
  </si>
  <si>
    <t>DESPESA - PASSAGENS</t>
  </si>
  <si>
    <t>DESPESA - LANCHES E REFEICOES</t>
  </si>
  <si>
    <t>DESPESAS COM VIAGENS</t>
  </si>
  <si>
    <t>4.2.01.04.05</t>
  </si>
  <si>
    <t>MANUTENCAO E CONSERVACAO</t>
  </si>
  <si>
    <t>DESPESA - MANUTENCAO E DESPESAS DE INFORMATICA</t>
  </si>
  <si>
    <t>DESPESA - REPARO E CONSERVACAO DE VEICULOS</t>
  </si>
  <si>
    <t>DESPESA - REPARO E CONSERVACAO DE MOVEIS E UTENSILIOS</t>
  </si>
  <si>
    <t>DESPESA - REPARO E CONSERVACAO DE EQUIPAMENTOS DE INFORMATIC</t>
  </si>
  <si>
    <t>DESPESA - REPARO E CONSERVACAO DE INSTALAÇÕES</t>
  </si>
  <si>
    <t>DESPESA - REPARO E CONSERVACAO DA SEDE</t>
  </si>
  <si>
    <t>DESPESA - MANUTENCAO DE MAQUINAS</t>
  </si>
  <si>
    <t>DESPESA - MATERIAIS DE MANUTENCAO DE CAMPO</t>
  </si>
  <si>
    <t>DESPESA - MANUTENÇÃO DE PROGRAMA DE ADMINISTRAÇÃO</t>
  </si>
  <si>
    <t>4.2.01.04.06</t>
  </si>
  <si>
    <t>SEGUROS</t>
  </si>
  <si>
    <t>DESPESA - SEGUROS GERAIS</t>
  </si>
  <si>
    <t>4.2.01.04.07</t>
  </si>
  <si>
    <t>IMPOSTOS, TAXAS E CONTRIBUICOES</t>
  </si>
  <si>
    <t>DESPESA - CONTRIBUICAO SINDICAL PATRONAL</t>
  </si>
  <si>
    <t>DESPESA - CONTRIBUICAO ASSISTENCIAL</t>
  </si>
  <si>
    <t>DESPESA - TAXAS</t>
  </si>
  <si>
    <t>DESPESA - IPVA</t>
  </si>
  <si>
    <t>DESPESA - ASSOCIACAO DE CLASSE</t>
  </si>
  <si>
    <t>DESPESA - IRRF SOBRE OUTRAS OPERACOES</t>
  </si>
  <si>
    <t>DESPESA - PIS SOBRE OUTRAS OPERACOES</t>
  </si>
  <si>
    <t>DESPESA - COFINS SOBRE OUTRAS OPERACOES</t>
  </si>
  <si>
    <t>DESPESA - ISS SOBRE OUTRAS OPERACOES</t>
  </si>
  <si>
    <t>EMPRÉSTIMO - PARCELA 2 A 13</t>
  </si>
  <si>
    <t>DESPESA - TFE</t>
  </si>
  <si>
    <t>DESPESA - REFIS</t>
  </si>
  <si>
    <t>DESPESA - IRRF SOBRE APLICAÇÃO FINANCEIRA</t>
  </si>
  <si>
    <t>DESPESA - PRESTAÇÃO DE CONTAS LEI DE INCENTIVO AO ESPORTE</t>
  </si>
  <si>
    <t>4.2.01.04.08</t>
  </si>
  <si>
    <t>DESPESAS COM COMUNICAÇÃO</t>
  </si>
  <si>
    <t>DESPESA -  ASSESSORIA DE IMPRENSA</t>
  </si>
  <si>
    <t>DESPESA -  ASSESSORIA SITE</t>
  </si>
  <si>
    <t>DESPESA -  MANUTENÇÃO DO SITE FPG</t>
  </si>
  <si>
    <t>DESPESA -  ASSESSORIA FOTOS EM EVENTOS</t>
  </si>
  <si>
    <t>DESPESA -  SERVIÇOS DE CLIPAGEM</t>
  </si>
  <si>
    <t>DESPESA - SITE/MIDIAS</t>
  </si>
  <si>
    <t>4.2.01.04.09</t>
  </si>
  <si>
    <t>DESPESAS COM MARKETING</t>
  </si>
  <si>
    <t>DESPESA - VERBAS DE REPRESENTAÇÃO</t>
  </si>
  <si>
    <t>DESPESA - EVENTO COMEMORATIVO 50 ANOS FPG</t>
  </si>
  <si>
    <t>4.2.01.04.10</t>
  </si>
  <si>
    <t>DESPESAS COM DESENVOLVIMENTO DO GOLFE</t>
  </si>
  <si>
    <t>DESPESA -  COMISSÃO DE ÁRBITROS</t>
  </si>
  <si>
    <t>DESPESA -  HOMENAGENS</t>
  </si>
  <si>
    <t>DESPESA - TAÇA - PRESIDENTES</t>
  </si>
  <si>
    <t>DESPESA -  PROJETO ANTI-DOPAGEM</t>
  </si>
  <si>
    <t>DESPESA -  REGRAS DE GOLFE</t>
  </si>
  <si>
    <t>DESPESA - BENEFÍCIOS DO RANKING NACIONAL</t>
  </si>
  <si>
    <t>DESPESA - BENEFÍCIOS DO RANKING PAULISTA</t>
  </si>
  <si>
    <t>DESPESA - PALESTRA MANUTENÇÃO CAMPO- DESPESAS</t>
  </si>
  <si>
    <t>DESPESA - DESENVOLVIMENTO PROJETOS FPG/CBG- DESPESAS</t>
  </si>
  <si>
    <t>DESPESA -  LIVROS E REVISTAS</t>
  </si>
  <si>
    <t>DESPESA -  SISTEMA SLOPE SYSTEM</t>
  </si>
  <si>
    <t>DESPESA -  PROJETO R&amp;A</t>
  </si>
  <si>
    <t>DESPESA -  PROJETO CAMPO PÚBLICO</t>
  </si>
  <si>
    <t>DESPESA -  PROJETO CLUBES ESPORTIVOS</t>
  </si>
  <si>
    <t>DESPESA -   MAQUINAS DE CAMPO - DESPESAS</t>
  </si>
  <si>
    <t>DESPESA- EVENTOS CENTRO ESPORTIVO</t>
  </si>
  <si>
    <t>DESPESA - LANÇAMENTO PROJETO TOPTRACER</t>
  </si>
  <si>
    <t>4.2.01.04.11</t>
  </si>
  <si>
    <t>DESPESA MANUTENÇÃO DO CAMPO</t>
  </si>
  <si>
    <t>DESPESA - MATERIAL MANUTENÇÃO CAMPO</t>
  </si>
  <si>
    <t>DESPESA - MATERIAL MANUTENÇÃO MÁQUINAS CAMPO</t>
  </si>
  <si>
    <t>DESPESA - COMBUSTIVEL/OLEO DIESEL- MÁQUINAS CAMPO</t>
  </si>
  <si>
    <t>DESPESA - ALUGUEIS EQUIPAMENTOS - CAMPO</t>
  </si>
  <si>
    <t>DESPESA - SERVIÇOS DE TERCEIROS, Daniel Tapia Gramados Esport.</t>
  </si>
  <si>
    <t>DESPESA - LOCAÇÃO CAÇAMBAS</t>
  </si>
  <si>
    <t>DESPESA - UNIFORMES/MATERIAL DE SEGURANÇA</t>
  </si>
  <si>
    <t>4.2.01.04.12</t>
  </si>
  <si>
    <t>OUTRAS DESPESAS ADMINISTRATIVAS</t>
  </si>
  <si>
    <t>DESPESA - CORREIO / MALOTES</t>
  </si>
  <si>
    <t>DESPESA - COPIAS E REPRODUCOES GRAFICAS</t>
  </si>
  <si>
    <t>DESPESA - DESPESAS LEGAIS E CARTORIAIS + Taxas Bancárias</t>
  </si>
  <si>
    <t>PROVISÃO - PROCESSOS TRABALHISTAS</t>
  </si>
  <si>
    <t>DESPESA - BENS DE BAIXO VALOR + Imobilizados</t>
  </si>
  <si>
    <t>DESPESA - DESPESA - LANCHES E REFEICOES - ADM</t>
  </si>
  <si>
    <t>DESPESA - ESTACIONAMENTO E PEDAGIO - ADM</t>
  </si>
  <si>
    <t>DESPESA - ONIBUS METRO TAXI</t>
  </si>
  <si>
    <t>DESPESA - EXAMES/MEDICAMENTOS, Líder Saude, Medicina do Trabalho</t>
  </si>
  <si>
    <t>DESPESA - PESQUISA DE MARKETING</t>
  </si>
  <si>
    <t>DESPESA - PROVISAO PARA DESPESAS DIVERSAS | Serasa</t>
  </si>
  <si>
    <t>DESPESA - COMBUSTÍVEL E LUBRIFICANTE</t>
  </si>
  <si>
    <t>DESPESA - FRETES</t>
  </si>
  <si>
    <t>DESPESA - MATERIAL DE DECORACAO</t>
  </si>
  <si>
    <t>DESPESAS COM CONSULTAS CADASTRAIS SOCIOS</t>
  </si>
  <si>
    <t>DESPESA - BRINDES</t>
  </si>
  <si>
    <t>DEPRECIAÇÃO</t>
  </si>
  <si>
    <t>DESPESAS BANCARIAS</t>
  </si>
  <si>
    <t>IOF</t>
  </si>
  <si>
    <t>DESCONTOS CONCEDIDOS</t>
  </si>
  <si>
    <t>JUROS PASSIVOS</t>
  </si>
  <si>
    <t>JUROS ATIVOS</t>
  </si>
  <si>
    <t>DESCONTOS OBTIDOS</t>
  </si>
  <si>
    <t>REND APLIC FINANC</t>
  </si>
  <si>
    <t>4.2.01.04.14</t>
  </si>
  <si>
    <t>TAXAS DE FILIAÇÃO CBG</t>
  </si>
  <si>
    <t> MENSALIDADES</t>
  </si>
  <si>
    <t> FUNDO DE RESERVA</t>
  </si>
  <si>
    <t>400297</t>
  </si>
  <si>
    <t>SUPERAVIT/ DEFICIT DE CAIXA PREVISTO NO ORÇAMENTO CBG</t>
  </si>
  <si>
    <r>
      <t xml:space="preserve">INVESTIMENTOS TOTAIS
FPGolfe + Centro Esportivo
</t>
    </r>
    <r>
      <rPr>
        <sz val="10"/>
        <color theme="0"/>
        <rFont val="Arial Nova Cond"/>
        <family val="2"/>
      </rPr>
      <t>3% s/ Receitas</t>
    </r>
  </si>
  <si>
    <t xml:space="preserve"> (+) ENTRADAS DO PERÍODO</t>
  </si>
  <si>
    <t xml:space="preserve"> (-) DESPESAS DO PERÍODO</t>
  </si>
  <si>
    <t xml:space="preserve">INVESTIMENTOS </t>
  </si>
  <si>
    <t xml:space="preserve"> (=) SALDO</t>
  </si>
  <si>
    <t>SALDO ANTERIOR</t>
  </si>
  <si>
    <t xml:space="preserve">SALDO ACUMULADO </t>
  </si>
  <si>
    <t>CHECK :</t>
  </si>
  <si>
    <t>COMO ESTAMOS :</t>
  </si>
  <si>
    <t xml:space="preserve">DESPESAS ADMINISTRATIVAS - Atividade Meio </t>
  </si>
  <si>
    <t>DESPESAS COM ESPORTE - Atividade 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</si>
</sst>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[Red]\-#,##0.00\ "/>
    <numFmt numFmtId="165" formatCode="_-* #,##0_-;\-* #,##0_-;_-* &quot;-&quot;??_-;_-@_-"/>
  </numFmts>
  <fonts count="30" x14ac:knownFonts="1">
    <font>
      <sz val="10"/>
      <color theme="1"/>
      <name val="Arial Nova Cond"/>
      <family val="2"/>
    </font>
    <font>
      <sz val="10"/>
      <color theme="1"/>
      <name val="Arial Nova Cond"/>
      <family val="2"/>
    </font>
    <font>
      <sz val="8"/>
      <color rgb="FF000000"/>
      <name val="Arial Nova Cond"/>
      <family val="2"/>
    </font>
    <font>
      <b/>
      <sz val="8"/>
      <color rgb="FF000000"/>
      <name val="Arial Nova Cond"/>
      <family val="2"/>
    </font>
    <font>
      <sz val="8"/>
      <name val="Arial Nova Cond"/>
      <family val="2"/>
    </font>
    <font>
      <b/>
      <sz val="14"/>
      <color theme="0"/>
      <name val="Arial Nova Cond"/>
      <family val="2"/>
    </font>
    <font>
      <b/>
      <sz val="11"/>
      <color theme="0"/>
      <name val="Arial Nova Cond"/>
      <family val="2"/>
    </font>
    <font>
      <b/>
      <sz val="8"/>
      <color theme="0"/>
      <name val="Arial Nova Cond"/>
      <family val="2"/>
    </font>
    <font>
      <sz val="10"/>
      <name val="Arial Nova Cond"/>
      <family val="2"/>
    </font>
    <font>
      <b/>
      <sz val="10"/>
      <color theme="0"/>
      <name val="Arial Nova Cond"/>
      <family val="2"/>
    </font>
    <font>
      <sz val="10"/>
      <color rgb="FF000000"/>
      <name val="Arial Nova Cond"/>
      <family val="2"/>
    </font>
    <font>
      <sz val="8"/>
      <color theme="0" tint="-0.249977111117893"/>
      <name val="Arial Nova Cond"/>
      <family val="2"/>
    </font>
    <font>
      <b/>
      <u/>
      <sz val="8"/>
      <color rgb="FF000000"/>
      <name val="Arial Nova Cond"/>
      <family val="2"/>
    </font>
    <font>
      <b/>
      <sz val="8"/>
      <name val="Arial Nova Cond"/>
      <family val="2"/>
    </font>
    <font>
      <sz val="8"/>
      <color theme="4"/>
      <name val="Arial Nova Cond"/>
      <family val="2"/>
    </font>
    <font>
      <b/>
      <sz val="8"/>
      <color theme="4"/>
      <name val="Arial Nova Cond"/>
      <family val="2"/>
    </font>
    <font>
      <b/>
      <sz val="8"/>
      <color theme="5" tint="-0.249977111117893"/>
      <name val="Arial Nova Cond"/>
      <family val="2"/>
    </font>
    <font>
      <b/>
      <sz val="8"/>
      <color theme="5"/>
      <name val="Arial Nova Cond"/>
      <family val="2"/>
    </font>
    <font>
      <sz val="8"/>
      <color theme="5"/>
      <name val="Arial Nova Cond"/>
      <family val="2"/>
    </font>
    <font>
      <b/>
      <sz val="11"/>
      <color theme="4"/>
      <name val="Arial Nova Cond"/>
      <family val="2"/>
    </font>
    <font>
      <b/>
      <sz val="8"/>
      <color rgb="FFFF0000"/>
      <name val="Arial Nova Cond"/>
      <family val="2"/>
    </font>
    <font>
      <sz val="8"/>
      <color rgb="FFFF0000"/>
      <name val="Arial Nova Cond"/>
      <family val="2"/>
    </font>
    <font>
      <sz val="8"/>
      <color theme="1"/>
      <name val="Arial Nova Cond"/>
      <family val="2"/>
    </font>
    <font>
      <sz val="10"/>
      <color theme="0"/>
      <name val="Arial Nova Cond"/>
      <family val="2"/>
    </font>
    <font>
      <sz val="8"/>
      <color rgb="FF323232"/>
      <name val="Tahoma"/>
      <family val="2"/>
    </font>
    <font>
      <b/>
      <sz val="8"/>
      <color rgb="FF0070C0"/>
      <name val="Arial Nova Cond"/>
      <family val="2"/>
    </font>
    <font>
      <sz val="8"/>
      <color rgb="FF0070C0"/>
      <name val="Arial Nova Cond"/>
      <family val="2"/>
    </font>
    <font>
      <b/>
      <sz val="11"/>
      <name val="Arial Nova Cond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6E6E6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theme="0"/>
      </top>
      <bottom style="hair">
        <color auto="1"/>
      </bottom>
      <diagonal/>
    </border>
    <border>
      <left/>
      <right style="hair">
        <color theme="0"/>
      </right>
      <top style="hair">
        <color theme="0"/>
      </top>
      <bottom style="hair">
        <color auto="1"/>
      </bottom>
      <diagonal/>
    </border>
    <border>
      <left style="hair">
        <color theme="0"/>
      </left>
      <right/>
      <top style="hair">
        <color theme="0"/>
      </top>
      <bottom style="hair">
        <color auto="1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rgb="FFB8B8B8"/>
      </top>
      <bottom style="medium">
        <color rgb="FFB8B8B8"/>
      </bottom>
      <diagonal/>
    </border>
    <border>
      <left/>
      <right/>
      <top/>
      <bottom style="medium">
        <color rgb="FFB8B8B8"/>
      </bottom>
      <diagonal/>
    </border>
    <border>
      <left/>
      <right/>
      <top/>
      <bottom style="hair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11" borderId="0" applyNumberFormat="0" applyFont="0" applyFill="0" applyBorder="0" applyAlignment="0" applyProtection="0">
      <alignment horizontal="left" vertical="top" wrapText="1"/>
    </xf>
  </cellStyleXfs>
  <cellXfs count="140">
    <xf numFmtId="0" fontId="0" fillId="0" borderId="0" xfId="0"/>
    <xf numFmtId="0" fontId="2" fillId="0" borderId="0" xfId="0" applyFont="1" applyAlignment="1">
      <alignment readingOrder="1"/>
    </xf>
    <xf numFmtId="0" fontId="2" fillId="0" borderId="0" xfId="0" applyFont="1" applyAlignment="1">
      <alignment horizontal="center" readingOrder="1"/>
    </xf>
    <xf numFmtId="0" fontId="2" fillId="0" borderId="0" xfId="0" applyFont="1" applyAlignment="1">
      <alignment horizontal="left" readingOrder="1"/>
    </xf>
    <xf numFmtId="164" fontId="2" fillId="0" borderId="0" xfId="1" applyNumberFormat="1" applyFont="1" applyAlignment="1">
      <alignment readingOrder="1"/>
    </xf>
    <xf numFmtId="0" fontId="3" fillId="0" borderId="0" xfId="0" applyFont="1" applyAlignment="1">
      <alignment readingOrder="1"/>
    </xf>
    <xf numFmtId="9" fontId="3" fillId="0" borderId="0" xfId="2" applyFont="1" applyAlignment="1">
      <alignment horizontal="center" readingOrder="1"/>
    </xf>
    <xf numFmtId="0" fontId="2" fillId="0" borderId="0" xfId="0" applyFont="1" applyAlignment="1">
      <alignment vertical="center" readingOrder="1"/>
    </xf>
    <xf numFmtId="0" fontId="2" fillId="0" borderId="0" xfId="0" applyFont="1" applyAlignment="1">
      <alignment horizontal="center" vertical="center" readingOrder="1"/>
    </xf>
    <xf numFmtId="0" fontId="4" fillId="0" borderId="0" xfId="0" applyFont="1" applyAlignment="1">
      <alignment vertical="top" readingOrder="1"/>
    </xf>
    <xf numFmtId="164" fontId="6" fillId="2" borderId="3" xfId="1" applyNumberFormat="1" applyFont="1" applyFill="1" applyBorder="1" applyAlignment="1">
      <alignment horizontal="center" vertical="center" readingOrder="1"/>
    </xf>
    <xf numFmtId="0" fontId="7" fillId="2" borderId="4" xfId="0" applyFont="1" applyFill="1" applyBorder="1" applyAlignment="1">
      <alignment horizontal="center" vertical="center" readingOrder="1"/>
    </xf>
    <xf numFmtId="164" fontId="7" fillId="2" borderId="3" xfId="1" applyNumberFormat="1" applyFont="1" applyFill="1" applyBorder="1" applyAlignment="1">
      <alignment horizontal="center" vertical="center" readingOrder="1"/>
    </xf>
    <xf numFmtId="0" fontId="8" fillId="0" borderId="0" xfId="0" applyFont="1" applyAlignment="1">
      <alignment vertical="top" readingOrder="1"/>
    </xf>
    <xf numFmtId="0" fontId="9" fillId="3" borderId="5" xfId="0" applyFont="1" applyFill="1" applyBorder="1" applyAlignment="1">
      <alignment horizontal="center" vertical="center" readingOrder="1"/>
    </xf>
    <xf numFmtId="0" fontId="9" fillId="3" borderId="5" xfId="0" applyFont="1" applyFill="1" applyBorder="1" applyAlignment="1">
      <alignment horizontal="left" vertical="center" readingOrder="1"/>
    </xf>
    <xf numFmtId="0" fontId="9" fillId="3" borderId="5" xfId="0" applyFont="1" applyFill="1" applyBorder="1" applyAlignment="1">
      <alignment vertical="center" readingOrder="1"/>
    </xf>
    <xf numFmtId="165" fontId="9" fillId="3" borderId="5" xfId="1" applyNumberFormat="1" applyFont="1" applyFill="1" applyBorder="1" applyAlignment="1">
      <alignment vertical="center" readingOrder="1"/>
    </xf>
    <xf numFmtId="165" fontId="10" fillId="0" borderId="0" xfId="0" applyNumberFormat="1" applyFont="1" applyAlignment="1">
      <alignment readingOrder="1"/>
    </xf>
    <xf numFmtId="9" fontId="11" fillId="3" borderId="5" xfId="2" applyFont="1" applyFill="1" applyBorder="1" applyAlignment="1">
      <alignment horizontal="center" vertical="center" readingOrder="1"/>
    </xf>
    <xf numFmtId="0" fontId="10" fillId="0" borderId="0" xfId="0" applyFont="1" applyAlignment="1">
      <alignment readingOrder="1"/>
    </xf>
    <xf numFmtId="165" fontId="2" fillId="0" borderId="0" xfId="0" applyNumberFormat="1" applyFont="1" applyAlignment="1">
      <alignment horizontal="left" vertical="center" readingOrder="1"/>
    </xf>
    <xf numFmtId="165" fontId="2" fillId="0" borderId="0" xfId="0" applyNumberFormat="1" applyFont="1" applyAlignment="1">
      <alignment horizontal="center" vertical="center" readingOrder="1"/>
    </xf>
    <xf numFmtId="0" fontId="3" fillId="4" borderId="5" xfId="0" applyFont="1" applyFill="1" applyBorder="1" applyAlignment="1">
      <alignment horizontal="center" vertical="center" readingOrder="1"/>
    </xf>
    <xf numFmtId="0" fontId="3" fillId="4" borderId="5" xfId="0" applyFont="1" applyFill="1" applyBorder="1" applyAlignment="1">
      <alignment horizontal="left" vertical="center" readingOrder="1"/>
    </xf>
    <xf numFmtId="0" fontId="3" fillId="4" borderId="5" xfId="0" applyFont="1" applyFill="1" applyBorder="1" applyAlignment="1">
      <alignment vertical="center" readingOrder="1"/>
    </xf>
    <xf numFmtId="165" fontId="3" fillId="4" borderId="5" xfId="1" applyNumberFormat="1" applyFont="1" applyFill="1" applyBorder="1" applyAlignment="1">
      <alignment vertical="center" readingOrder="1"/>
    </xf>
    <xf numFmtId="165" fontId="2" fillId="0" borderId="0" xfId="0" applyNumberFormat="1" applyFont="1" applyAlignment="1">
      <alignment readingOrder="1"/>
    </xf>
    <xf numFmtId="165" fontId="3" fillId="5" borderId="5" xfId="1" applyNumberFormat="1" applyFont="1" applyFill="1" applyBorder="1" applyAlignment="1">
      <alignment vertical="center" readingOrder="1"/>
    </xf>
    <xf numFmtId="9" fontId="3" fillId="5" borderId="5" xfId="2" applyFont="1" applyFill="1" applyBorder="1" applyAlignment="1">
      <alignment horizontal="center" vertical="center" readingOrder="1"/>
    </xf>
    <xf numFmtId="0" fontId="4" fillId="6" borderId="5" xfId="0" applyFont="1" applyFill="1" applyBorder="1" applyAlignment="1">
      <alignment horizontal="center" vertical="top" readingOrder="1"/>
    </xf>
    <xf numFmtId="0" fontId="2" fillId="6" borderId="5" xfId="0" applyFont="1" applyFill="1" applyBorder="1" applyAlignment="1">
      <alignment horizontal="left" vertical="center" readingOrder="1"/>
    </xf>
    <xf numFmtId="0" fontId="2" fillId="6" borderId="5" xfId="0" applyFont="1" applyFill="1" applyBorder="1" applyAlignment="1">
      <alignment vertical="center" readingOrder="1"/>
    </xf>
    <xf numFmtId="0" fontId="2" fillId="6" borderId="5" xfId="0" applyFont="1" applyFill="1" applyBorder="1" applyAlignment="1">
      <alignment horizontal="center" vertical="center" readingOrder="1"/>
    </xf>
    <xf numFmtId="165" fontId="2" fillId="6" borderId="5" xfId="1" applyNumberFormat="1" applyFont="1" applyFill="1" applyBorder="1" applyAlignment="1">
      <alignment vertical="center" readingOrder="1"/>
    </xf>
    <xf numFmtId="165" fontId="3" fillId="7" borderId="5" xfId="1" applyNumberFormat="1" applyFont="1" applyFill="1" applyBorder="1" applyAlignment="1">
      <alignment vertical="center" readingOrder="1"/>
    </xf>
    <xf numFmtId="9" fontId="2" fillId="7" borderId="5" xfId="2" applyFont="1" applyFill="1" applyBorder="1" applyAlignment="1">
      <alignment horizontal="center" vertical="center" readingOrder="1"/>
    </xf>
    <xf numFmtId="0" fontId="2" fillId="6" borderId="6" xfId="0" applyFont="1" applyFill="1" applyBorder="1" applyAlignment="1">
      <alignment vertical="center" readingOrder="1"/>
    </xf>
    <xf numFmtId="0" fontId="2" fillId="0" borderId="6" xfId="0" applyFont="1" applyBorder="1" applyAlignment="1">
      <alignment vertical="center" readingOrder="1"/>
    </xf>
    <xf numFmtId="0" fontId="2" fillId="8" borderId="5" xfId="0" applyFont="1" applyFill="1" applyBorder="1" applyAlignment="1">
      <alignment horizontal="left" vertical="center" readingOrder="1"/>
    </xf>
    <xf numFmtId="0" fontId="2" fillId="8" borderId="6" xfId="0" applyFont="1" applyFill="1" applyBorder="1" applyAlignment="1">
      <alignment vertical="center" wrapText="1" readingOrder="1"/>
    </xf>
    <xf numFmtId="165" fontId="2" fillId="7" borderId="5" xfId="1" applyNumberFormat="1" applyFont="1" applyFill="1" applyBorder="1" applyAlignment="1">
      <alignment vertical="center" readingOrder="1"/>
    </xf>
    <xf numFmtId="0" fontId="2" fillId="8" borderId="6" xfId="0" applyFont="1" applyFill="1" applyBorder="1" applyAlignment="1">
      <alignment vertical="center" readingOrder="1"/>
    </xf>
    <xf numFmtId="0" fontId="2" fillId="0" borderId="5" xfId="0" applyFont="1" applyBorder="1" applyAlignment="1">
      <alignment horizontal="left" vertical="center" readingOrder="1"/>
    </xf>
    <xf numFmtId="0" fontId="2" fillId="0" borderId="5" xfId="0" applyFont="1" applyBorder="1" applyAlignment="1">
      <alignment vertical="center" readingOrder="1"/>
    </xf>
    <xf numFmtId="165" fontId="2" fillId="0" borderId="0" xfId="1" applyNumberFormat="1" applyFont="1" applyAlignment="1">
      <alignment readingOrder="1"/>
    </xf>
    <xf numFmtId="165" fontId="3" fillId="6" borderId="5" xfId="1" applyNumberFormat="1" applyFont="1" applyFill="1" applyBorder="1" applyAlignment="1">
      <alignment vertical="center" readingOrder="1"/>
    </xf>
    <xf numFmtId="9" fontId="3" fillId="6" borderId="5" xfId="2" applyFont="1" applyFill="1" applyBorder="1" applyAlignment="1">
      <alignment horizontal="center" vertical="center" readingOrder="1"/>
    </xf>
    <xf numFmtId="0" fontId="4" fillId="6" borderId="5" xfId="0" applyFont="1" applyFill="1" applyBorder="1" applyAlignment="1">
      <alignment horizontal="left" vertical="top" readingOrder="1"/>
    </xf>
    <xf numFmtId="0" fontId="13" fillId="4" borderId="5" xfId="0" applyFont="1" applyFill="1" applyBorder="1" applyAlignment="1">
      <alignment horizontal="left" vertical="center" readingOrder="1"/>
    </xf>
    <xf numFmtId="0" fontId="13" fillId="4" borderId="5" xfId="0" applyFont="1" applyFill="1" applyBorder="1" applyAlignment="1">
      <alignment vertical="center" readingOrder="1"/>
    </xf>
    <xf numFmtId="0" fontId="13" fillId="4" borderId="5" xfId="0" applyFont="1" applyFill="1" applyBorder="1" applyAlignment="1">
      <alignment horizontal="center" vertical="center" readingOrder="1"/>
    </xf>
    <xf numFmtId="165" fontId="13" fillId="4" borderId="5" xfId="1" applyNumberFormat="1" applyFont="1" applyFill="1" applyBorder="1" applyAlignment="1">
      <alignment vertical="center" readingOrder="1"/>
    </xf>
    <xf numFmtId="0" fontId="14" fillId="0" borderId="0" xfId="0" applyFont="1" applyAlignment="1">
      <alignment vertical="top" readingOrder="1"/>
    </xf>
    <xf numFmtId="0" fontId="15" fillId="4" borderId="5" xfId="0" applyFont="1" applyFill="1" applyBorder="1" applyAlignment="1">
      <alignment horizontal="left" vertical="center" readingOrder="1"/>
    </xf>
    <xf numFmtId="0" fontId="15" fillId="4" borderId="5" xfId="0" applyFont="1" applyFill="1" applyBorder="1" applyAlignment="1">
      <alignment vertical="center" readingOrder="1"/>
    </xf>
    <xf numFmtId="0" fontId="15" fillId="4" borderId="5" xfId="0" applyFont="1" applyFill="1" applyBorder="1" applyAlignment="1">
      <alignment horizontal="center" vertical="center" readingOrder="1"/>
    </xf>
    <xf numFmtId="165" fontId="15" fillId="4" borderId="5" xfId="1" applyNumberFormat="1" applyFont="1" applyFill="1" applyBorder="1" applyAlignment="1">
      <alignment vertical="center" readingOrder="1"/>
    </xf>
    <xf numFmtId="165" fontId="14" fillId="0" borderId="0" xfId="0" applyNumberFormat="1" applyFont="1" applyAlignment="1">
      <alignment readingOrder="1"/>
    </xf>
    <xf numFmtId="165" fontId="15" fillId="5" borderId="5" xfId="1" applyNumberFormat="1" applyFont="1" applyFill="1" applyBorder="1" applyAlignment="1">
      <alignment vertical="center" readingOrder="1"/>
    </xf>
    <xf numFmtId="0" fontId="14" fillId="0" borderId="0" xfId="0" applyFont="1" applyAlignment="1">
      <alignment readingOrder="1"/>
    </xf>
    <xf numFmtId="0" fontId="2" fillId="0" borderId="5" xfId="0" applyFont="1" applyBorder="1" applyAlignment="1">
      <alignment horizontal="center" vertical="center" readingOrder="1"/>
    </xf>
    <xf numFmtId="0" fontId="2" fillId="0" borderId="5" xfId="0" applyFont="1" applyBorder="1" applyAlignment="1">
      <alignment vertical="center" wrapText="1" readingOrder="1"/>
    </xf>
    <xf numFmtId="0" fontId="2" fillId="9" borderId="5" xfId="0" applyFont="1" applyFill="1" applyBorder="1" applyAlignment="1">
      <alignment vertical="center" wrapText="1" readingOrder="1"/>
    </xf>
    <xf numFmtId="0" fontId="16" fillId="4" borderId="5" xfId="0" applyFont="1" applyFill="1" applyBorder="1" applyAlignment="1">
      <alignment horizontal="left" vertical="center" readingOrder="1"/>
    </xf>
    <xf numFmtId="0" fontId="17" fillId="4" borderId="5" xfId="0" applyFont="1" applyFill="1" applyBorder="1" applyAlignment="1">
      <alignment vertical="center" readingOrder="1"/>
    </xf>
    <xf numFmtId="0" fontId="17" fillId="4" borderId="5" xfId="0" applyFont="1" applyFill="1" applyBorder="1" applyAlignment="1">
      <alignment horizontal="center" vertical="center" readingOrder="1"/>
    </xf>
    <xf numFmtId="165" fontId="17" fillId="4" borderId="5" xfId="1" applyNumberFormat="1" applyFont="1" applyFill="1" applyBorder="1" applyAlignment="1">
      <alignment vertical="center" readingOrder="1"/>
    </xf>
    <xf numFmtId="165" fontId="18" fillId="0" borderId="0" xfId="0" applyNumberFormat="1" applyFont="1" applyAlignment="1">
      <alignment readingOrder="1"/>
    </xf>
    <xf numFmtId="165" fontId="17" fillId="5" borderId="5" xfId="1" applyNumberFormat="1" applyFont="1" applyFill="1" applyBorder="1" applyAlignment="1">
      <alignment vertical="center" readingOrder="1"/>
    </xf>
    <xf numFmtId="165" fontId="19" fillId="5" borderId="5" xfId="1" applyNumberFormat="1" applyFont="1" applyFill="1" applyBorder="1" applyAlignment="1">
      <alignment vertical="center" readingOrder="1"/>
    </xf>
    <xf numFmtId="165" fontId="2" fillId="0" borderId="5" xfId="1" applyNumberFormat="1" applyFont="1" applyFill="1" applyBorder="1" applyAlignment="1">
      <alignment vertical="center" readingOrder="1"/>
    </xf>
    <xf numFmtId="0" fontId="2" fillId="8" borderId="5" xfId="0" applyFont="1" applyFill="1" applyBorder="1" applyAlignment="1">
      <alignment vertical="center" wrapText="1" readingOrder="1"/>
    </xf>
    <xf numFmtId="0" fontId="2" fillId="8" borderId="5" xfId="0" applyFont="1" applyFill="1" applyBorder="1" applyAlignment="1">
      <alignment horizontal="center" vertical="center" readingOrder="1"/>
    </xf>
    <xf numFmtId="165" fontId="2" fillId="8" borderId="5" xfId="1" applyNumberFormat="1" applyFont="1" applyFill="1" applyBorder="1" applyAlignment="1">
      <alignment vertical="center" readingOrder="1"/>
    </xf>
    <xf numFmtId="0" fontId="2" fillId="9" borderId="5" xfId="0" applyFont="1" applyFill="1" applyBorder="1" applyAlignment="1">
      <alignment horizontal="left" vertical="center" readingOrder="1"/>
    </xf>
    <xf numFmtId="0" fontId="20" fillId="9" borderId="5" xfId="0" applyFont="1" applyFill="1" applyBorder="1" applyAlignment="1">
      <alignment vertical="center" readingOrder="1"/>
    </xf>
    <xf numFmtId="0" fontId="2" fillId="9" borderId="5" xfId="0" applyFont="1" applyFill="1" applyBorder="1" applyAlignment="1">
      <alignment horizontal="center" vertical="center" readingOrder="1"/>
    </xf>
    <xf numFmtId="165" fontId="2" fillId="9" borderId="0" xfId="0" applyNumberFormat="1" applyFont="1" applyFill="1" applyAlignment="1">
      <alignment readingOrder="1"/>
    </xf>
    <xf numFmtId="165" fontId="3" fillId="9" borderId="5" xfId="1" applyNumberFormat="1" applyFont="1" applyFill="1" applyBorder="1" applyAlignment="1">
      <alignment vertical="center" readingOrder="1"/>
    </xf>
    <xf numFmtId="0" fontId="16" fillId="4" borderId="5" xfId="0" applyFont="1" applyFill="1" applyBorder="1" applyAlignment="1">
      <alignment vertical="center" readingOrder="1"/>
    </xf>
    <xf numFmtId="165" fontId="16" fillId="5" borderId="5" xfId="1" applyNumberFormat="1" applyFont="1" applyFill="1" applyBorder="1" applyAlignment="1">
      <alignment vertical="center" readingOrder="1"/>
    </xf>
    <xf numFmtId="0" fontId="21" fillId="6" borderId="5" xfId="0" applyFont="1" applyFill="1" applyBorder="1" applyAlignment="1">
      <alignment horizontal="left" vertical="center" readingOrder="1"/>
    </xf>
    <xf numFmtId="0" fontId="2" fillId="9" borderId="5" xfId="0" applyFont="1" applyFill="1" applyBorder="1" applyAlignment="1">
      <alignment vertical="center" readingOrder="1"/>
    </xf>
    <xf numFmtId="165" fontId="3" fillId="0" borderId="0" xfId="1" applyNumberFormat="1" applyFont="1" applyAlignment="1">
      <alignment readingOrder="1"/>
    </xf>
    <xf numFmtId="3" fontId="22" fillId="0" borderId="0" xfId="0" applyNumberFormat="1" applyFont="1" applyAlignment="1">
      <alignment horizontal="left" readingOrder="1"/>
    </xf>
    <xf numFmtId="9" fontId="9" fillId="3" borderId="5" xfId="2" applyFont="1" applyFill="1" applyBorder="1" applyAlignment="1">
      <alignment horizontal="center" vertical="center" readingOrder="1"/>
    </xf>
    <xf numFmtId="0" fontId="10" fillId="0" borderId="0" xfId="0" applyFont="1" applyAlignment="1">
      <alignment vertical="center" readingOrder="1"/>
    </xf>
    <xf numFmtId="165" fontId="10" fillId="0" borderId="0" xfId="0" applyNumberFormat="1" applyFont="1" applyAlignment="1">
      <alignment horizontal="center" vertical="center" readingOrder="1"/>
    </xf>
    <xf numFmtId="0" fontId="3" fillId="11" borderId="7" xfId="3" applyFont="1" applyBorder="1" applyAlignment="1">
      <alignment horizontal="left" vertical="center" wrapText="1"/>
    </xf>
    <xf numFmtId="165" fontId="3" fillId="11" borderId="7" xfId="3" applyNumberFormat="1" applyFont="1" applyBorder="1" applyAlignment="1">
      <alignment vertical="center" wrapText="1"/>
    </xf>
    <xf numFmtId="9" fontId="3" fillId="11" borderId="7" xfId="2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vertical="center" readingOrder="1"/>
    </xf>
    <xf numFmtId="0" fontId="25" fillId="11" borderId="7" xfId="3" applyFont="1" applyBorder="1" applyAlignment="1">
      <alignment horizontal="left" vertical="center" wrapText="1"/>
    </xf>
    <xf numFmtId="165" fontId="25" fillId="11" borderId="7" xfId="3" applyNumberFormat="1" applyFont="1" applyBorder="1" applyAlignment="1">
      <alignment vertical="center" wrapText="1"/>
    </xf>
    <xf numFmtId="165" fontId="26" fillId="0" borderId="0" xfId="0" applyNumberFormat="1" applyFont="1" applyAlignment="1">
      <alignment readingOrder="1"/>
    </xf>
    <xf numFmtId="9" fontId="25" fillId="11" borderId="7" xfId="2" applyFont="1" applyFill="1" applyBorder="1" applyAlignment="1">
      <alignment horizontal="center" vertical="center" wrapText="1"/>
    </xf>
    <xf numFmtId="0" fontId="26" fillId="0" borderId="0" xfId="0" applyFont="1" applyAlignment="1">
      <alignment readingOrder="1"/>
    </xf>
    <xf numFmtId="165" fontId="26" fillId="0" borderId="0" xfId="0" applyNumberFormat="1" applyFont="1" applyAlignment="1">
      <alignment vertical="center" readingOrder="1"/>
    </xf>
    <xf numFmtId="0" fontId="26" fillId="0" borderId="0" xfId="0" applyFont="1" applyAlignment="1">
      <alignment horizontal="center" vertical="center" readingOrder="1"/>
    </xf>
    <xf numFmtId="0" fontId="27" fillId="12" borderId="8" xfId="3" applyFont="1" applyFill="1" applyBorder="1" applyAlignment="1">
      <alignment horizontal="left" vertical="center" wrapText="1"/>
    </xf>
    <xf numFmtId="165" fontId="27" fillId="12" borderId="8" xfId="3" applyNumberFormat="1" applyFont="1" applyFill="1" applyBorder="1" applyAlignment="1">
      <alignment vertical="center" wrapText="1"/>
    </xf>
    <xf numFmtId="9" fontId="27" fillId="12" borderId="8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readingOrder="1"/>
    </xf>
    <xf numFmtId="3" fontId="11" fillId="0" borderId="0" xfId="0" applyNumberFormat="1" applyFont="1" applyAlignment="1">
      <alignment horizontal="left" readingOrder="1"/>
    </xf>
    <xf numFmtId="0" fontId="2" fillId="0" borderId="0" xfId="0" applyFont="1" applyAlignment="1">
      <alignment vertical="top" readingOrder="1"/>
    </xf>
    <xf numFmtId="0" fontId="2" fillId="0" borderId="0" xfId="0" applyFont="1" applyAlignment="1">
      <alignment horizontal="center" vertical="top" readingOrder="1"/>
    </xf>
    <xf numFmtId="0" fontId="2" fillId="0" borderId="0" xfId="0" applyFont="1" applyAlignment="1">
      <alignment horizontal="left" vertical="top" readingOrder="1"/>
    </xf>
    <xf numFmtId="0" fontId="11" fillId="0" borderId="0" xfId="0" applyFont="1" applyAlignment="1">
      <alignment horizontal="right" vertical="top"/>
    </xf>
    <xf numFmtId="165" fontId="11" fillId="0" borderId="0" xfId="0" applyNumberFormat="1" applyFont="1" applyAlignment="1">
      <alignment horizontal="center" vertical="top"/>
    </xf>
    <xf numFmtId="0" fontId="3" fillId="0" borderId="0" xfId="0" applyFont="1" applyAlignment="1">
      <alignment vertical="top" readingOrder="1"/>
    </xf>
    <xf numFmtId="9" fontId="3" fillId="0" borderId="0" xfId="2" applyFont="1" applyAlignment="1">
      <alignment horizontal="center" vertical="top" readingOrder="1"/>
    </xf>
    <xf numFmtId="9" fontId="13" fillId="8" borderId="9" xfId="2" applyFont="1" applyFill="1" applyBorder="1" applyAlignment="1">
      <alignment horizontal="center" vertical="center" readingOrder="1"/>
    </xf>
    <xf numFmtId="0" fontId="13" fillId="8" borderId="5" xfId="0" applyFont="1" applyFill="1" applyBorder="1" applyAlignment="1">
      <alignment horizontal="center" vertical="center" readingOrder="1"/>
    </xf>
    <xf numFmtId="0" fontId="13" fillId="8" borderId="5" xfId="0" applyFont="1" applyFill="1" applyBorder="1" applyAlignment="1">
      <alignment horizontal="left" vertical="center" readingOrder="1"/>
    </xf>
    <xf numFmtId="0" fontId="13" fillId="8" borderId="5" xfId="0" applyFont="1" applyFill="1" applyBorder="1" applyAlignment="1">
      <alignment vertical="center" readingOrder="1"/>
    </xf>
    <xf numFmtId="165" fontId="13" fillId="8" borderId="5" xfId="1" applyNumberFormat="1" applyFont="1" applyFill="1" applyBorder="1" applyAlignment="1">
      <alignment vertical="center" readingOrder="1"/>
    </xf>
    <xf numFmtId="9" fontId="13" fillId="8" borderId="5" xfId="2" applyFont="1" applyFill="1" applyBorder="1" applyAlignment="1">
      <alignment horizontal="center" vertical="center" readingOrder="1"/>
    </xf>
    <xf numFmtId="0" fontId="7" fillId="3" borderId="5" xfId="0" applyFont="1" applyFill="1" applyBorder="1" applyAlignment="1">
      <alignment horizontal="center" vertical="center" readingOrder="1"/>
    </xf>
    <xf numFmtId="0" fontId="7" fillId="3" borderId="5" xfId="0" applyFont="1" applyFill="1" applyBorder="1" applyAlignment="1">
      <alignment horizontal="left" vertical="center" readingOrder="1"/>
    </xf>
    <xf numFmtId="0" fontId="7" fillId="3" borderId="5" xfId="0" applyFont="1" applyFill="1" applyBorder="1" applyAlignment="1">
      <alignment vertical="center" readingOrder="1"/>
    </xf>
    <xf numFmtId="165" fontId="7" fillId="3" borderId="5" xfId="1" applyNumberFormat="1" applyFont="1" applyFill="1" applyBorder="1" applyAlignment="1">
      <alignment vertical="center" readingOrder="1"/>
    </xf>
    <xf numFmtId="9" fontId="7" fillId="3" borderId="5" xfId="2" applyFont="1" applyFill="1" applyBorder="1" applyAlignment="1">
      <alignment horizontal="center" vertical="center" readingOrder="1"/>
    </xf>
    <xf numFmtId="165" fontId="2" fillId="0" borderId="0" xfId="0" applyNumberFormat="1" applyFont="1" applyAlignment="1">
      <alignment vertical="top" readingOrder="1"/>
    </xf>
    <xf numFmtId="165" fontId="3" fillId="0" borderId="0" xfId="1" applyNumberFormat="1" applyFont="1" applyAlignment="1">
      <alignment horizontal="center" vertical="top" readingOrder="1"/>
    </xf>
    <xf numFmtId="43" fontId="2" fillId="0" borderId="0" xfId="1" applyFont="1" applyAlignment="1">
      <alignment readingOrder="1"/>
    </xf>
    <xf numFmtId="43" fontId="3" fillId="0" borderId="0" xfId="1" applyFont="1" applyAlignment="1">
      <alignment readingOrder="1"/>
    </xf>
    <xf numFmtId="43" fontId="3" fillId="0" borderId="0" xfId="0" applyNumberFormat="1" applyFont="1" applyAlignment="1">
      <alignment readingOrder="1"/>
    </xf>
    <xf numFmtId="0" fontId="2" fillId="13" borderId="0" xfId="0" applyFont="1" applyFill="1" applyAlignment="1">
      <alignment horizontal="center" readingOrder="1"/>
    </xf>
    <xf numFmtId="0" fontId="3" fillId="11" borderId="7" xfId="3" applyFont="1" applyBorder="1" applyAlignment="1">
      <alignment horizontal="left" vertical="center" wrapText="1"/>
    </xf>
    <xf numFmtId="0" fontId="27" fillId="12" borderId="8" xfId="3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164" fontId="5" fillId="2" borderId="3" xfId="1" applyNumberFormat="1" applyFont="1" applyFill="1" applyBorder="1" applyAlignment="1">
      <alignment horizontal="center" vertical="center" wrapText="1" readingOrder="1"/>
    </xf>
    <xf numFmtId="164" fontId="5" fillId="2" borderId="1" xfId="1" applyNumberFormat="1" applyFont="1" applyFill="1" applyBorder="1" applyAlignment="1">
      <alignment horizontal="center" vertical="center" wrapText="1" readingOrder="1"/>
    </xf>
    <xf numFmtId="0" fontId="13" fillId="4" borderId="5" xfId="0" applyFont="1" applyFill="1" applyBorder="1" applyAlignment="1">
      <alignment horizontal="left" vertical="center" wrapText="1" readingOrder="1"/>
    </xf>
    <xf numFmtId="0" fontId="9" fillId="3" borderId="5" xfId="0" applyFont="1" applyFill="1" applyBorder="1" applyAlignment="1">
      <alignment horizontal="left" vertical="center" wrapText="1" readingOrder="1"/>
    </xf>
    <xf numFmtId="0" fontId="9" fillId="3" borderId="5" xfId="0" applyFont="1" applyFill="1" applyBorder="1" applyAlignment="1">
      <alignment horizontal="left" vertical="center" readingOrder="1"/>
    </xf>
    <xf numFmtId="0" fontId="2" fillId="10" borderId="0" xfId="0" applyFont="1" applyFill="1" applyAlignment="1">
      <alignment horizontal="center" readingOrder="1"/>
    </xf>
    <xf numFmtId="0" fontId="25" fillId="11" borderId="7" xfId="3" applyFont="1" applyBorder="1" applyAlignment="1">
      <alignment horizontal="left" vertical="center" wrapText="1"/>
    </xf>
  </cellXfs>
  <cellStyles count="4">
    <cellStyle name="Normal" xfId="0" builtinId="0"/>
    <cellStyle name="Normal 2" xfId="3" xr:uid="{7A34A8F6-B316-4AA3-B2A4-35B6BC39E7A0}"/>
    <cellStyle name="Porcentagem" xfId="2" builtinId="5"/>
    <cellStyle name="Vírgula" xfId="1" builtinId="3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32384</xdr:colOff>
      <xdr:row>397</xdr:row>
      <xdr:rowOff>198120</xdr:rowOff>
    </xdr:from>
    <xdr:to>
      <xdr:col>18</xdr:col>
      <xdr:colOff>628650</xdr:colOff>
      <xdr:row>398</xdr:row>
      <xdr:rowOff>293370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CCBE45CA-0E3A-4D1B-923F-720EDD232258}"/>
            </a:ext>
          </a:extLst>
        </xdr:cNvPr>
        <xdr:cNvSpPr/>
      </xdr:nvSpPr>
      <xdr:spPr>
        <a:xfrm>
          <a:off x="12270104" y="25231725"/>
          <a:ext cx="594361" cy="339090"/>
        </a:xfrm>
        <a:prstGeom prst="rightArrow">
          <a:avLst/>
        </a:prstGeom>
        <a:solidFill>
          <a:srgbClr val="FFFF0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18</xdr:col>
      <xdr:colOff>32384</xdr:colOff>
      <xdr:row>397</xdr:row>
      <xdr:rowOff>198120</xdr:rowOff>
    </xdr:from>
    <xdr:to>
      <xdr:col>18</xdr:col>
      <xdr:colOff>628650</xdr:colOff>
      <xdr:row>398</xdr:row>
      <xdr:rowOff>293370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9536F5F1-281A-4F0E-8208-2EAB2789604A}"/>
            </a:ext>
          </a:extLst>
        </xdr:cNvPr>
        <xdr:cNvSpPr/>
      </xdr:nvSpPr>
      <xdr:spPr>
        <a:xfrm>
          <a:off x="12270104" y="25231725"/>
          <a:ext cx="594361" cy="339090"/>
        </a:xfrm>
        <a:prstGeom prst="rightArrow">
          <a:avLst/>
        </a:prstGeom>
        <a:solidFill>
          <a:srgbClr val="FFFF0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pgolfe.sharepoint.com/sites/FP_Cloud/Trabalho/FPG_SP/Financeiro/Gest&#227;o%20Financeira/FPG_%20Or&#231;amento/2026/OBH/0.%20OR&#199;AMENTO%202026%20Consolidado/0.%20OR&#199;AMENTO%202026_%20Consolidado_%20v5_%20Reuni&#227;o%20CA_%20APROVADO.xlsx" TargetMode="External"/><Relationship Id="rId1" Type="http://schemas.openxmlformats.org/officeDocument/2006/relationships/externalLinkPath" Target="0.%20OR&#199;AMENTO%202026_%20Consolidado_%20v5_%20Reuni&#227;o%20CA_%20APROV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IDADE"/>
      <sheetName val="DRE_ Oficial"/>
      <sheetName val="DRE GLOBAL"/>
      <sheetName val="SAP"/>
      <sheetName val="DRE CONS"/>
      <sheetName val="COMPARAT"/>
      <sheetName val="FPG"/>
      <sheetName val="C.E."/>
      <sheetName val="Versões"/>
    </sheetNames>
    <sheetDataSet>
      <sheetData sheetId="0"/>
      <sheetData sheetId="1"/>
      <sheetData sheetId="2"/>
      <sheetData sheetId="3">
        <row r="5"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</row>
        <row r="6"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</row>
        <row r="7"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</row>
        <row r="8"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</row>
        <row r="9"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</row>
        <row r="10"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</row>
        <row r="11"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</row>
        <row r="12"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</row>
        <row r="13"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</row>
        <row r="14"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</row>
        <row r="15"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</row>
        <row r="16"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</row>
        <row r="17"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</row>
        <row r="18"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</row>
        <row r="19"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</row>
        <row r="20"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</row>
        <row r="21"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</row>
        <row r="22"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</row>
        <row r="23"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</row>
        <row r="24"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</row>
        <row r="25"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</row>
        <row r="27"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</row>
        <row r="28">
          <cell r="F28"/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F29"/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F30"/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F31"/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F32"/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F33"/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F34"/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6">
          <cell r="F36"/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F37"/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F38"/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F39"/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F40"/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F41"/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5"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</row>
        <row r="46"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</row>
        <row r="47"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</row>
        <row r="48"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</row>
        <row r="49"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</row>
        <row r="50"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</row>
        <row r="51"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</row>
        <row r="52"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</row>
        <row r="53"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</row>
        <row r="54"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</row>
        <row r="55"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</row>
        <row r="56"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</row>
        <row r="58"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</row>
        <row r="59"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</row>
        <row r="60"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</row>
        <row r="61"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</row>
        <row r="63"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</row>
        <row r="64"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</row>
        <row r="65"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</row>
        <row r="66"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</row>
        <row r="67"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</row>
        <row r="68"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</row>
        <row r="69"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</row>
        <row r="70"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</row>
        <row r="71"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</row>
        <row r="72"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</row>
        <row r="73"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</row>
        <row r="74"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</row>
        <row r="75"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</row>
        <row r="76"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</row>
        <row r="77"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</row>
        <row r="78"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</row>
        <row r="79"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</row>
        <row r="80"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</row>
        <row r="81"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</row>
        <row r="82"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</row>
        <row r="83"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</row>
        <row r="84"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</row>
        <row r="85"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</row>
        <row r="86"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</row>
        <row r="87"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</row>
        <row r="88"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</row>
        <row r="89"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</row>
        <row r="90"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</row>
        <row r="91"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</row>
        <row r="92"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</row>
        <row r="94"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</row>
        <row r="95"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</row>
        <row r="96"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</row>
        <row r="97"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</row>
        <row r="98"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</row>
        <row r="99"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</row>
        <row r="100"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</row>
        <row r="101"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</row>
        <row r="102"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</row>
        <row r="103"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</row>
        <row r="104"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</row>
        <row r="105"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</row>
        <row r="106"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</row>
        <row r="107"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</row>
        <row r="108"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</row>
        <row r="109"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</row>
        <row r="110"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</row>
        <row r="111"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</row>
        <row r="112"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</row>
        <row r="113"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</row>
        <row r="115"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</row>
        <row r="116"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</row>
        <row r="117"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</row>
        <row r="118"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</row>
        <row r="119"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</row>
        <row r="120"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</row>
        <row r="121"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</row>
        <row r="122"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</row>
        <row r="123"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</row>
        <row r="124"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</row>
        <row r="125"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</row>
        <row r="126"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</row>
        <row r="127"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</row>
        <row r="128"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</row>
        <row r="129"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</row>
        <row r="130"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</row>
        <row r="131"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</row>
        <row r="132"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</row>
        <row r="133"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</row>
        <row r="134"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</row>
        <row r="135"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</row>
        <row r="136"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</row>
        <row r="137"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</row>
        <row r="138"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</row>
        <row r="139"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</row>
        <row r="140"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</row>
        <row r="141"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</row>
        <row r="142"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</row>
        <row r="143"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</row>
        <row r="144"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</row>
        <row r="145"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</row>
        <row r="147"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</row>
        <row r="148"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</row>
        <row r="150"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</row>
        <row r="151"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</row>
        <row r="152"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</row>
        <row r="153"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</row>
        <row r="154"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</row>
        <row r="155"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</row>
        <row r="156"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</row>
        <row r="157"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</row>
        <row r="158"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</row>
        <row r="159"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</row>
        <row r="160"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</row>
        <row r="161"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</row>
        <row r="162"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</row>
        <row r="163"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</row>
        <row r="164"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</row>
        <row r="165"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</row>
        <row r="166"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</row>
        <row r="167"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</row>
        <row r="168"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</row>
        <row r="169"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</row>
        <row r="170"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</row>
        <row r="171"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</row>
        <row r="172"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</row>
        <row r="173"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</row>
        <row r="174"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</row>
        <row r="176"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</row>
        <row r="177"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</row>
        <row r="178"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</row>
        <row r="179"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</row>
        <row r="180"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</row>
        <row r="181"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</row>
        <row r="182"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</row>
        <row r="183"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</row>
        <row r="184"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</row>
        <row r="185"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</row>
        <row r="186"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</row>
        <row r="187"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</row>
        <row r="188"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</row>
        <row r="189"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</row>
        <row r="190"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</row>
        <row r="191"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</row>
        <row r="192"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</row>
        <row r="193"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</row>
        <row r="194"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</row>
        <row r="195"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</row>
        <row r="196"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</row>
        <row r="197"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</row>
        <row r="198"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</row>
        <row r="199"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</row>
        <row r="201"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</row>
        <row r="202"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</row>
        <row r="203"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</row>
        <row r="204"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</row>
        <row r="206"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</row>
        <row r="207"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</row>
        <row r="208"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</row>
        <row r="209"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</row>
        <row r="210"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</row>
        <row r="211"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</row>
        <row r="212"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</row>
        <row r="213"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</row>
        <row r="214"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</row>
        <row r="215"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</row>
        <row r="216"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</row>
        <row r="217"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</row>
        <row r="218"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</row>
        <row r="219"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</row>
        <row r="220"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</row>
        <row r="221"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</row>
        <row r="222"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</row>
        <row r="223"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</row>
        <row r="224"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</row>
        <row r="225"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</row>
        <row r="226"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</row>
        <row r="227"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</row>
        <row r="228"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</row>
        <row r="229"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</row>
        <row r="230"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</row>
        <row r="231"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</row>
        <row r="232"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</row>
        <row r="233"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</row>
        <row r="234"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</row>
        <row r="235"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</row>
        <row r="236"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</row>
        <row r="238"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</row>
        <row r="239"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</row>
        <row r="240"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</row>
        <row r="241"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</row>
        <row r="242"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</row>
        <row r="243"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</row>
        <row r="244"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</row>
        <row r="246"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</row>
        <row r="247"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</row>
        <row r="248"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</row>
        <row r="250"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</row>
        <row r="251"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</row>
        <row r="252"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</row>
        <row r="253"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</row>
        <row r="254"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</row>
        <row r="255"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</row>
        <row r="256"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</row>
        <row r="257"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</row>
        <row r="258"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</row>
        <row r="259"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</row>
        <row r="260"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</row>
        <row r="261"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</row>
        <row r="262"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</row>
        <row r="263"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</row>
        <row r="264"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</row>
        <row r="265"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</row>
        <row r="266"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</row>
        <row r="267"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</row>
        <row r="269"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</row>
        <row r="270"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</row>
        <row r="271"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</row>
        <row r="272"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</row>
        <row r="273"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</row>
        <row r="275"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</row>
        <row r="276"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</row>
        <row r="277"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</row>
        <row r="279"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</row>
        <row r="280"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</row>
        <row r="281"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</row>
        <row r="282"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</row>
        <row r="283"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</row>
        <row r="284"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</row>
        <row r="285"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</row>
        <row r="287"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</row>
        <row r="288"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</row>
        <row r="289"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</row>
        <row r="290"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</row>
        <row r="291"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</row>
        <row r="292"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</row>
        <row r="293"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</row>
        <row r="294"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</row>
        <row r="295"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</row>
        <row r="296"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</row>
        <row r="298"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</row>
        <row r="300"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</row>
        <row r="301"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</row>
        <row r="302"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</row>
        <row r="303"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</row>
        <row r="304"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</row>
        <row r="305"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</row>
        <row r="306"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</row>
        <row r="307"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</row>
        <row r="308"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</row>
        <row r="309"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</row>
        <row r="310"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</row>
        <row r="311"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</row>
        <row r="312"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</row>
        <row r="313"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</row>
        <row r="315"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</row>
        <row r="316"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</row>
        <row r="317"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</row>
        <row r="318"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</row>
        <row r="319"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</row>
        <row r="320"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</row>
        <row r="322"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</row>
        <row r="323"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</row>
        <row r="325"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</row>
        <row r="326"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</row>
        <row r="327"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</row>
        <row r="328"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</row>
        <row r="329"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</row>
        <row r="330"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</row>
        <row r="331"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</row>
        <row r="332"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</row>
        <row r="333"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</row>
        <row r="334"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</row>
        <row r="335"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</row>
        <row r="336"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</row>
        <row r="337"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</row>
        <row r="338"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</row>
        <row r="339"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</row>
        <row r="340"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</row>
        <row r="341"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</row>
        <row r="342"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</row>
        <row r="343"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</row>
        <row r="344"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</row>
        <row r="345"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</row>
        <row r="346"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</row>
        <row r="348"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</row>
        <row r="349"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</row>
        <row r="350"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</row>
        <row r="351"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</row>
        <row r="352"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</row>
        <row r="353"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</row>
        <row r="354"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</row>
        <row r="356"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</row>
        <row r="357"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</row>
        <row r="358"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</row>
        <row r="359"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</row>
        <row r="360"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</row>
        <row r="361"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</row>
        <row r="362"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</row>
        <row r="363"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</row>
        <row r="364"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</row>
        <row r="365"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</row>
        <row r="366"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</row>
        <row r="367"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</row>
        <row r="368"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</row>
        <row r="369"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</row>
        <row r="370"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</row>
        <row r="371"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</row>
        <row r="372"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</row>
        <row r="373"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</row>
        <row r="374"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</row>
        <row r="375"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</row>
        <row r="376"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</row>
        <row r="377"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</row>
        <row r="378"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</row>
        <row r="379"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</row>
        <row r="380"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</row>
        <row r="382"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</row>
        <row r="383"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</row>
        <row r="384"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</row>
      </sheetData>
      <sheetData sheetId="4"/>
      <sheetData sheetId="5"/>
      <sheetData sheetId="6">
        <row r="3">
          <cell r="S3">
            <v>7325640.5617208835</v>
          </cell>
        </row>
        <row r="4">
          <cell r="S4">
            <v>6931526.4477208834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S5">
            <v>0</v>
          </cell>
        </row>
        <row r="6">
          <cell r="F6"/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S6">
            <v>0</v>
          </cell>
        </row>
        <row r="7">
          <cell r="F7">
            <v>10857.283830750001</v>
          </cell>
          <cell r="G7">
            <v>10857.283830750001</v>
          </cell>
          <cell r="H7">
            <v>10857.283830750001</v>
          </cell>
          <cell r="I7">
            <v>10857.283830750001</v>
          </cell>
          <cell r="J7">
            <v>10857.283830750001</v>
          </cell>
          <cell r="K7">
            <v>10857.283830750001</v>
          </cell>
          <cell r="L7">
            <v>10857.283830750001</v>
          </cell>
          <cell r="M7">
            <v>10857.283830750001</v>
          </cell>
          <cell r="N7">
            <v>10857.283830750001</v>
          </cell>
          <cell r="O7">
            <v>10857.283830750001</v>
          </cell>
          <cell r="P7">
            <v>10857.283830750001</v>
          </cell>
          <cell r="Q7">
            <v>10857.283830750001</v>
          </cell>
          <cell r="S7">
            <v>130287.40596900003</v>
          </cell>
        </row>
        <row r="8">
          <cell r="F8">
            <v>51296.720523515221</v>
          </cell>
          <cell r="G8">
            <v>51296.720523515221</v>
          </cell>
          <cell r="H8">
            <v>51296.720523515221</v>
          </cell>
          <cell r="I8">
            <v>51296.720523515221</v>
          </cell>
          <cell r="J8">
            <v>51296.720523515221</v>
          </cell>
          <cell r="K8">
            <v>51296.720523515221</v>
          </cell>
          <cell r="L8">
            <v>51296.720523515221</v>
          </cell>
          <cell r="M8">
            <v>51296.720523515221</v>
          </cell>
          <cell r="N8">
            <v>51296.720523515221</v>
          </cell>
          <cell r="O8">
            <v>51296.720523515221</v>
          </cell>
          <cell r="P8">
            <v>51296.720523515221</v>
          </cell>
          <cell r="Q8">
            <v>51296.720523515221</v>
          </cell>
          <cell r="S8">
            <v>615560.64628218277</v>
          </cell>
        </row>
        <row r="9">
          <cell r="F9">
            <v>430837.10308800003</v>
          </cell>
          <cell r="G9">
            <v>432231.39792000002</v>
          </cell>
          <cell r="H9">
            <v>433625.692752</v>
          </cell>
          <cell r="I9">
            <v>435019.98758399999</v>
          </cell>
          <cell r="J9">
            <v>436414.28241600003</v>
          </cell>
          <cell r="K9">
            <v>437808.57724800002</v>
          </cell>
          <cell r="L9">
            <v>439202.87208</v>
          </cell>
          <cell r="M9">
            <v>440597.16691200004</v>
          </cell>
          <cell r="N9">
            <v>441991.46174400003</v>
          </cell>
          <cell r="O9">
            <v>443385.75657600001</v>
          </cell>
          <cell r="P9">
            <v>444780.051408</v>
          </cell>
          <cell r="Q9">
            <v>446174.34624000004</v>
          </cell>
          <cell r="S9">
            <v>5262068.6959680002</v>
          </cell>
        </row>
        <row r="10">
          <cell r="F10">
            <v>49358.025965850007</v>
          </cell>
          <cell r="G10">
            <v>49514.850873600008</v>
          </cell>
          <cell r="H10">
            <v>49671.675781350008</v>
          </cell>
          <cell r="I10">
            <v>49828.500689100008</v>
          </cell>
          <cell r="J10">
            <v>49985.325596850002</v>
          </cell>
          <cell r="K10">
            <v>50142.150504600002</v>
          </cell>
          <cell r="L10">
            <v>50298.975412350002</v>
          </cell>
          <cell r="M10">
            <v>50455.800320100003</v>
          </cell>
          <cell r="N10">
            <v>50612.625227850003</v>
          </cell>
          <cell r="O10">
            <v>50769.450135600004</v>
          </cell>
          <cell r="P10">
            <v>50926.275043350004</v>
          </cell>
          <cell r="Q10">
            <v>51083.099951100005</v>
          </cell>
          <cell r="S10">
            <v>602646.75550169998</v>
          </cell>
        </row>
        <row r="11">
          <cell r="F11"/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S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S12">
            <v>0</v>
          </cell>
        </row>
        <row r="13">
          <cell r="F13"/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S13">
            <v>0</v>
          </cell>
        </row>
        <row r="14">
          <cell r="F14"/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S14">
            <v>0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S15">
            <v>0</v>
          </cell>
        </row>
        <row r="16">
          <cell r="F16"/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</row>
        <row r="17">
          <cell r="F17"/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S17">
            <v>0</v>
          </cell>
        </row>
        <row r="18">
          <cell r="F18">
            <v>15458.687999999998</v>
          </cell>
          <cell r="G18">
            <v>15458.687999999998</v>
          </cell>
          <cell r="H18">
            <v>15458.687999999998</v>
          </cell>
          <cell r="I18">
            <v>15458.687999999998</v>
          </cell>
          <cell r="J18">
            <v>15458.687999999998</v>
          </cell>
          <cell r="K18">
            <v>15458.687999999998</v>
          </cell>
          <cell r="L18">
            <v>15458.687999999998</v>
          </cell>
          <cell r="M18">
            <v>15458.687999999998</v>
          </cell>
          <cell r="N18">
            <v>15458.687999999998</v>
          </cell>
          <cell r="O18">
            <v>15458.687999999998</v>
          </cell>
          <cell r="P18">
            <v>23188.031999999999</v>
          </cell>
          <cell r="Q18">
            <v>23188.031999999999</v>
          </cell>
          <cell r="S18">
            <v>200962.94399999999</v>
          </cell>
        </row>
        <row r="19">
          <cell r="F19"/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</row>
        <row r="20">
          <cell r="F20">
            <v>25000</v>
          </cell>
          <cell r="G20">
            <v>25000</v>
          </cell>
          <cell r="H20">
            <v>2500</v>
          </cell>
          <cell r="I20">
            <v>2500</v>
          </cell>
          <cell r="J20">
            <v>2500</v>
          </cell>
          <cell r="K20">
            <v>2500</v>
          </cell>
          <cell r="L20">
            <v>2500</v>
          </cell>
          <cell r="M20">
            <v>2500</v>
          </cell>
          <cell r="N20">
            <v>2500</v>
          </cell>
          <cell r="O20">
            <v>2500</v>
          </cell>
          <cell r="P20">
            <v>25000</v>
          </cell>
          <cell r="Q20">
            <v>25000</v>
          </cell>
          <cell r="S20">
            <v>120000</v>
          </cell>
        </row>
        <row r="21">
          <cell r="F21"/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S21">
            <v>0</v>
          </cell>
        </row>
        <row r="22">
          <cell r="F22"/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F23"/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</row>
        <row r="25">
          <cell r="F25"/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</row>
        <row r="26">
          <cell r="S26">
            <v>380124.114</v>
          </cell>
        </row>
        <row r="27">
          <cell r="F27">
            <v>186324.114</v>
          </cell>
          <cell r="G27">
            <v>0</v>
          </cell>
          <cell r="H27">
            <v>58300</v>
          </cell>
          <cell r="I27">
            <v>0</v>
          </cell>
          <cell r="J27">
            <v>0</v>
          </cell>
          <cell r="K27">
            <v>10000</v>
          </cell>
          <cell r="L27">
            <v>0</v>
          </cell>
          <cell r="M27">
            <v>60000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314624.114</v>
          </cell>
        </row>
        <row r="28">
          <cell r="F28">
            <v>0</v>
          </cell>
          <cell r="G28">
            <v>0</v>
          </cell>
          <cell r="H28">
            <v>30500</v>
          </cell>
          <cell r="I28">
            <v>15000</v>
          </cell>
          <cell r="J28">
            <v>0</v>
          </cell>
          <cell r="K28">
            <v>0</v>
          </cell>
          <cell r="L28">
            <v>0</v>
          </cell>
          <cell r="M28">
            <v>20000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S28">
            <v>65500</v>
          </cell>
        </row>
        <row r="29">
          <cell r="F29"/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</row>
        <row r="30">
          <cell r="F30"/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</row>
        <row r="31">
          <cell r="F31"/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</row>
        <row r="32">
          <cell r="F32"/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F33"/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>
            <v>0</v>
          </cell>
        </row>
        <row r="34">
          <cell r="F34"/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S35">
            <v>13990</v>
          </cell>
        </row>
        <row r="36">
          <cell r="F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2500</v>
          </cell>
          <cell r="N36">
            <v>4440</v>
          </cell>
          <cell r="O36">
            <v>0</v>
          </cell>
          <cell r="P36">
            <v>0</v>
          </cell>
          <cell r="Q36">
            <v>0</v>
          </cell>
          <cell r="S36">
            <v>8940</v>
          </cell>
        </row>
        <row r="37">
          <cell r="F37">
            <v>0</v>
          </cell>
          <cell r="G37">
            <v>0</v>
          </cell>
          <cell r="H37">
            <v>1250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1700</v>
          </cell>
          <cell r="N37">
            <v>2100</v>
          </cell>
          <cell r="O37">
            <v>0</v>
          </cell>
          <cell r="P37">
            <v>0</v>
          </cell>
          <cell r="Q37">
            <v>0</v>
          </cell>
          <cell r="S37">
            <v>5050</v>
          </cell>
        </row>
        <row r="38">
          <cell r="F38"/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S38">
            <v>0</v>
          </cell>
        </row>
        <row r="39">
          <cell r="F39"/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S39">
            <v>0</v>
          </cell>
        </row>
        <row r="40">
          <cell r="F40"/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S40">
            <v>0</v>
          </cell>
        </row>
        <row r="41">
          <cell r="F41"/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S41">
            <v>0</v>
          </cell>
        </row>
        <row r="42">
          <cell r="S42"/>
        </row>
        <row r="43">
          <cell r="S43">
            <v>7013933.3049021792</v>
          </cell>
        </row>
        <row r="44">
          <cell r="S44">
            <v>1042549.8512236936</v>
          </cell>
        </row>
        <row r="45">
          <cell r="F45">
            <v>71898.826829559999</v>
          </cell>
          <cell r="G45">
            <v>71898.826829559999</v>
          </cell>
          <cell r="H45">
            <v>71898.826829559999</v>
          </cell>
          <cell r="I45">
            <v>71898.826829559999</v>
          </cell>
          <cell r="J45">
            <v>71898.826829559999</v>
          </cell>
          <cell r="K45">
            <v>71898.826829559999</v>
          </cell>
          <cell r="L45">
            <v>71898.826829559999</v>
          </cell>
          <cell r="M45">
            <v>71898.826829559999</v>
          </cell>
          <cell r="N45">
            <v>71898.826829559999</v>
          </cell>
          <cell r="O45">
            <v>71898.826829559999</v>
          </cell>
          <cell r="P45">
            <v>71898.826829559999</v>
          </cell>
          <cell r="Q45">
            <v>71898.826829559999</v>
          </cell>
          <cell r="S45">
            <v>862785.92195471993</v>
          </cell>
        </row>
        <row r="46">
          <cell r="F46">
            <v>5991.568902463333</v>
          </cell>
          <cell r="G46">
            <v>5991.568902463333</v>
          </cell>
          <cell r="H46">
            <v>5991.568902463333</v>
          </cell>
          <cell r="I46">
            <v>5991.568902463333</v>
          </cell>
          <cell r="J46">
            <v>5991.568902463333</v>
          </cell>
          <cell r="K46">
            <v>5991.568902463333</v>
          </cell>
          <cell r="L46">
            <v>5991.568902463333</v>
          </cell>
          <cell r="M46">
            <v>5991.568902463333</v>
          </cell>
          <cell r="N46">
            <v>5991.568902463333</v>
          </cell>
          <cell r="O46">
            <v>5991.568902463333</v>
          </cell>
          <cell r="P46">
            <v>5991.568902463333</v>
          </cell>
          <cell r="Q46">
            <v>5991.568902463333</v>
          </cell>
          <cell r="S46">
            <v>71898.826829559999</v>
          </cell>
        </row>
        <row r="47">
          <cell r="F47">
            <v>7988.7585366177773</v>
          </cell>
          <cell r="G47">
            <v>7988.7585366177773</v>
          </cell>
          <cell r="H47">
            <v>7988.7585366177773</v>
          </cell>
          <cell r="I47">
            <v>7988.7585366177773</v>
          </cell>
          <cell r="J47">
            <v>7988.7585366177773</v>
          </cell>
          <cell r="K47">
            <v>7988.7585366177773</v>
          </cell>
          <cell r="L47">
            <v>7988.7585366177773</v>
          </cell>
          <cell r="M47">
            <v>7988.7585366177773</v>
          </cell>
          <cell r="N47">
            <v>7988.7585366177773</v>
          </cell>
          <cell r="O47">
            <v>7988.7585366177773</v>
          </cell>
          <cell r="P47">
            <v>7988.7585366177773</v>
          </cell>
          <cell r="Q47">
            <v>7988.7585366177773</v>
          </cell>
          <cell r="S47">
            <v>95865.102439413356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</row>
        <row r="49">
          <cell r="F49"/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S49">
            <v>0</v>
          </cell>
        </row>
        <row r="50">
          <cell r="F50">
            <v>1000</v>
          </cell>
          <cell r="G50">
            <v>1000</v>
          </cell>
          <cell r="H50">
            <v>1000</v>
          </cell>
          <cell r="I50">
            <v>1000</v>
          </cell>
          <cell r="J50">
            <v>1000</v>
          </cell>
          <cell r="K50">
            <v>1000</v>
          </cell>
          <cell r="L50">
            <v>1000</v>
          </cell>
          <cell r="M50">
            <v>1000</v>
          </cell>
          <cell r="N50">
            <v>1000</v>
          </cell>
          <cell r="O50">
            <v>1000</v>
          </cell>
          <cell r="P50">
            <v>1000</v>
          </cell>
          <cell r="Q50">
            <v>1000</v>
          </cell>
          <cell r="S50">
            <v>12000</v>
          </cell>
        </row>
        <row r="51">
          <cell r="F51"/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</row>
        <row r="52">
          <cell r="F52"/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S52">
            <v>0</v>
          </cell>
        </row>
        <row r="53">
          <cell r="F53"/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S53">
            <v>0</v>
          </cell>
        </row>
        <row r="54">
          <cell r="F54"/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S54">
            <v>0</v>
          </cell>
        </row>
        <row r="55">
          <cell r="F55"/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S55">
            <v>0</v>
          </cell>
        </row>
        <row r="56">
          <cell r="F56"/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</row>
        <row r="57">
          <cell r="S57">
            <v>0</v>
          </cell>
        </row>
        <row r="58">
          <cell r="F58"/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>
            <v>0</v>
          </cell>
        </row>
        <row r="59">
          <cell r="F59"/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0</v>
          </cell>
        </row>
        <row r="60">
          <cell r="F60"/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S60">
            <v>0</v>
          </cell>
        </row>
        <row r="61">
          <cell r="F61"/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S61">
            <v>0</v>
          </cell>
        </row>
        <row r="62">
          <cell r="S62">
            <v>280242.39040000003</v>
          </cell>
        </row>
        <row r="63">
          <cell r="F63">
            <v>1883.1999999999998</v>
          </cell>
          <cell r="G63">
            <v>1883.1999999999998</v>
          </cell>
          <cell r="H63">
            <v>1883.1999999999998</v>
          </cell>
          <cell r="I63">
            <v>1883.1999999999998</v>
          </cell>
          <cell r="J63">
            <v>1883.1999999999998</v>
          </cell>
          <cell r="K63">
            <v>1883.1999999999998</v>
          </cell>
          <cell r="L63">
            <v>1883.1999999999998</v>
          </cell>
          <cell r="M63">
            <v>1883.1999999999998</v>
          </cell>
          <cell r="N63">
            <v>1883.1999999999998</v>
          </cell>
          <cell r="O63">
            <v>1883.1999999999998</v>
          </cell>
          <cell r="P63">
            <v>1883.1999999999998</v>
          </cell>
          <cell r="Q63">
            <v>1883.1999999999998</v>
          </cell>
          <cell r="S63">
            <v>22598.400000000005</v>
          </cell>
        </row>
        <row r="64">
          <cell r="F64">
            <v>11084.087200000002</v>
          </cell>
          <cell r="G64">
            <v>11084.087200000002</v>
          </cell>
          <cell r="H64">
            <v>11084.087200000002</v>
          </cell>
          <cell r="I64">
            <v>11084.087200000002</v>
          </cell>
          <cell r="J64">
            <v>11084.087200000002</v>
          </cell>
          <cell r="K64">
            <v>11084.087200000002</v>
          </cell>
          <cell r="L64">
            <v>11084.087200000002</v>
          </cell>
          <cell r="M64">
            <v>11084.087200000002</v>
          </cell>
          <cell r="N64">
            <v>11084.087200000002</v>
          </cell>
          <cell r="O64">
            <v>11084.087200000002</v>
          </cell>
          <cell r="P64">
            <v>11084.087200000002</v>
          </cell>
          <cell r="Q64">
            <v>11084.087200000002</v>
          </cell>
          <cell r="S64">
            <v>133009.04640000005</v>
          </cell>
        </row>
        <row r="65">
          <cell r="F65">
            <v>2498.6640000000002</v>
          </cell>
          <cell r="G65">
            <v>2498.6640000000002</v>
          </cell>
          <cell r="H65">
            <v>2498.6640000000002</v>
          </cell>
          <cell r="I65">
            <v>2498.6640000000002</v>
          </cell>
          <cell r="J65">
            <v>2498.6640000000002</v>
          </cell>
          <cell r="K65">
            <v>2498.6640000000002</v>
          </cell>
          <cell r="L65">
            <v>2498.6640000000002</v>
          </cell>
          <cell r="M65">
            <v>2498.6640000000002</v>
          </cell>
          <cell r="N65">
            <v>2498.6640000000002</v>
          </cell>
          <cell r="O65">
            <v>2498.6640000000002</v>
          </cell>
          <cell r="P65">
            <v>2498.6640000000002</v>
          </cell>
          <cell r="Q65">
            <v>2498.6640000000002</v>
          </cell>
          <cell r="S65">
            <v>29983.968000000004</v>
          </cell>
        </row>
        <row r="66"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S66">
            <v>0</v>
          </cell>
        </row>
        <row r="67">
          <cell r="F67">
            <v>6408.16</v>
          </cell>
          <cell r="G67">
            <v>6408.16</v>
          </cell>
          <cell r="H67">
            <v>6408.16</v>
          </cell>
          <cell r="I67">
            <v>6408.16</v>
          </cell>
          <cell r="J67">
            <v>7689.7919999999995</v>
          </cell>
          <cell r="K67">
            <v>7689.7919999999995</v>
          </cell>
          <cell r="L67">
            <v>7689.7919999999995</v>
          </cell>
          <cell r="M67">
            <v>7689.7919999999995</v>
          </cell>
          <cell r="N67">
            <v>7689.7919999999995</v>
          </cell>
          <cell r="O67">
            <v>7689.7919999999995</v>
          </cell>
          <cell r="P67">
            <v>7689.7919999999995</v>
          </cell>
          <cell r="Q67">
            <v>7689.7919999999995</v>
          </cell>
          <cell r="S67">
            <v>87150.97600000001</v>
          </cell>
        </row>
        <row r="68">
          <cell r="F68"/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S68">
            <v>0</v>
          </cell>
        </row>
        <row r="69">
          <cell r="F69"/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S69">
            <v>0</v>
          </cell>
        </row>
        <row r="70">
          <cell r="F70"/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S70">
            <v>0</v>
          </cell>
        </row>
        <row r="71">
          <cell r="F71"/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7500</v>
          </cell>
          <cell r="S71">
            <v>7500</v>
          </cell>
        </row>
        <row r="72">
          <cell r="F72"/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S72">
            <v>0</v>
          </cell>
        </row>
        <row r="73">
          <cell r="F73"/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S73">
            <v>0</v>
          </cell>
        </row>
        <row r="74">
          <cell r="F74"/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S74">
            <v>0</v>
          </cell>
        </row>
        <row r="75">
          <cell r="F75"/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S75">
            <v>0</v>
          </cell>
        </row>
        <row r="76">
          <cell r="F76"/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S76">
            <v>0</v>
          </cell>
        </row>
        <row r="77">
          <cell r="F77"/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S77">
            <v>0</v>
          </cell>
        </row>
        <row r="78">
          <cell r="F78"/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S78">
            <v>0</v>
          </cell>
        </row>
        <row r="79">
          <cell r="F79"/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S79">
            <v>0</v>
          </cell>
        </row>
        <row r="80">
          <cell r="F80"/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S80">
            <v>0</v>
          </cell>
        </row>
        <row r="81">
          <cell r="F81"/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S81">
            <v>0</v>
          </cell>
        </row>
        <row r="82">
          <cell r="F82"/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S82">
            <v>0</v>
          </cell>
        </row>
        <row r="83">
          <cell r="F83"/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S83">
            <v>0</v>
          </cell>
        </row>
        <row r="84">
          <cell r="F84"/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S84">
            <v>0</v>
          </cell>
        </row>
        <row r="85"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S85">
            <v>0</v>
          </cell>
        </row>
        <row r="86">
          <cell r="F86"/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S86">
            <v>0</v>
          </cell>
        </row>
        <row r="87">
          <cell r="F87"/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S87">
            <v>0</v>
          </cell>
        </row>
        <row r="88">
          <cell r="F88"/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S88">
            <v>0</v>
          </cell>
        </row>
        <row r="89">
          <cell r="F89"/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S89">
            <v>0</v>
          </cell>
        </row>
        <row r="90">
          <cell r="F90"/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S90">
            <v>0</v>
          </cell>
        </row>
        <row r="91">
          <cell r="F91"/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S91">
            <v>0</v>
          </cell>
        </row>
        <row r="92">
          <cell r="F92"/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S92">
            <v>0</v>
          </cell>
        </row>
        <row r="93">
          <cell r="S93">
            <v>395215.86794428638</v>
          </cell>
        </row>
        <row r="94">
          <cell r="F94">
            <v>25205.531777846165</v>
          </cell>
          <cell r="G94">
            <v>25205.531777846165</v>
          </cell>
          <cell r="H94">
            <v>25205.531777846165</v>
          </cell>
          <cell r="I94">
            <v>25205.531777846165</v>
          </cell>
          <cell r="J94">
            <v>25205.531777846165</v>
          </cell>
          <cell r="K94">
            <v>25205.531777846165</v>
          </cell>
          <cell r="L94">
            <v>25205.531777846165</v>
          </cell>
          <cell r="M94">
            <v>25205.531777846165</v>
          </cell>
          <cell r="N94">
            <v>25205.531777846165</v>
          </cell>
          <cell r="O94">
            <v>25205.531777846165</v>
          </cell>
          <cell r="P94">
            <v>25205.531777846165</v>
          </cell>
          <cell r="Q94">
            <v>25205.531777846165</v>
          </cell>
          <cell r="S94">
            <v>302466.38133415399</v>
          </cell>
        </row>
        <row r="95">
          <cell r="F95">
            <v>6870.3323414912893</v>
          </cell>
          <cell r="G95">
            <v>6870.3323414912893</v>
          </cell>
          <cell r="H95">
            <v>6870.3323414912893</v>
          </cell>
          <cell r="I95">
            <v>6870.3323414912893</v>
          </cell>
          <cell r="J95">
            <v>6870.3323414912893</v>
          </cell>
          <cell r="K95">
            <v>6870.3323414912893</v>
          </cell>
          <cell r="L95">
            <v>6870.3323414912893</v>
          </cell>
          <cell r="M95">
            <v>6870.3323414912893</v>
          </cell>
          <cell r="N95">
            <v>6870.3323414912893</v>
          </cell>
          <cell r="O95">
            <v>6870.3323414912893</v>
          </cell>
          <cell r="P95">
            <v>6870.3323414912893</v>
          </cell>
          <cell r="Q95">
            <v>6870.3323414912893</v>
          </cell>
          <cell r="S95">
            <v>82443.988097895475</v>
          </cell>
        </row>
        <row r="96">
          <cell r="F96"/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S96">
            <v>0</v>
          </cell>
        </row>
        <row r="97">
          <cell r="F97">
            <v>858.79154268641116</v>
          </cell>
          <cell r="G97">
            <v>858.79154268641116</v>
          </cell>
          <cell r="H97">
            <v>858.79154268641116</v>
          </cell>
          <cell r="I97">
            <v>858.79154268641116</v>
          </cell>
          <cell r="J97">
            <v>858.79154268641116</v>
          </cell>
          <cell r="K97">
            <v>858.79154268641116</v>
          </cell>
          <cell r="L97">
            <v>858.79154268641116</v>
          </cell>
          <cell r="M97">
            <v>858.79154268641116</v>
          </cell>
          <cell r="N97">
            <v>858.79154268641116</v>
          </cell>
          <cell r="O97">
            <v>858.79154268641116</v>
          </cell>
          <cell r="P97">
            <v>858.79154268641116</v>
          </cell>
          <cell r="Q97">
            <v>858.79154268641116</v>
          </cell>
          <cell r="S97">
            <v>10305.498512236934</v>
          </cell>
        </row>
        <row r="98">
          <cell r="F98"/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S98">
            <v>0</v>
          </cell>
        </row>
        <row r="99">
          <cell r="F99"/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S99">
            <v>0</v>
          </cell>
        </row>
        <row r="100">
          <cell r="F100"/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S100">
            <v>0</v>
          </cell>
        </row>
        <row r="101">
          <cell r="F101"/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S101">
            <v>0</v>
          </cell>
        </row>
        <row r="102">
          <cell r="F102"/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</row>
        <row r="103">
          <cell r="F103"/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S103">
            <v>0</v>
          </cell>
        </row>
        <row r="104">
          <cell r="F104"/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S104">
            <v>0</v>
          </cell>
        </row>
        <row r="105">
          <cell r="F105"/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S105">
            <v>0</v>
          </cell>
        </row>
        <row r="106">
          <cell r="F106"/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S106">
            <v>0</v>
          </cell>
        </row>
        <row r="107">
          <cell r="F107"/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S107">
            <v>0</v>
          </cell>
        </row>
        <row r="108">
          <cell r="F108"/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S108">
            <v>0</v>
          </cell>
        </row>
        <row r="109">
          <cell r="F109"/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S109">
            <v>0</v>
          </cell>
        </row>
        <row r="110">
          <cell r="F110"/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S110">
            <v>0</v>
          </cell>
        </row>
        <row r="111">
          <cell r="F111"/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S111">
            <v>0</v>
          </cell>
        </row>
        <row r="112">
          <cell r="F112"/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S112">
            <v>0</v>
          </cell>
        </row>
        <row r="113">
          <cell r="F113"/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S113">
            <v>0</v>
          </cell>
        </row>
        <row r="114">
          <cell r="S114">
            <v>819999.99999999988</v>
          </cell>
        </row>
        <row r="115">
          <cell r="F115"/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S115">
            <v>0</v>
          </cell>
        </row>
        <row r="116">
          <cell r="F116"/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S116">
            <v>0</v>
          </cell>
        </row>
        <row r="117">
          <cell r="F117"/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S117">
            <v>0</v>
          </cell>
        </row>
        <row r="118">
          <cell r="F118"/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S118">
            <v>0</v>
          </cell>
        </row>
        <row r="119">
          <cell r="F119"/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S119">
            <v>0</v>
          </cell>
        </row>
        <row r="120">
          <cell r="F120"/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50000</v>
          </cell>
          <cell r="S120">
            <v>50000</v>
          </cell>
        </row>
        <row r="121">
          <cell r="F121"/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S121">
            <v>0</v>
          </cell>
        </row>
        <row r="122">
          <cell r="F122"/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S122">
            <v>0</v>
          </cell>
        </row>
        <row r="123">
          <cell r="F123"/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</row>
        <row r="124">
          <cell r="F124"/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S124">
            <v>0</v>
          </cell>
        </row>
        <row r="125">
          <cell r="F125"/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S125">
            <v>0</v>
          </cell>
        </row>
        <row r="126">
          <cell r="F126"/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S126">
            <v>0</v>
          </cell>
        </row>
        <row r="127">
          <cell r="F127"/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S127">
            <v>0</v>
          </cell>
        </row>
        <row r="128">
          <cell r="F128"/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S128">
            <v>0</v>
          </cell>
        </row>
        <row r="129">
          <cell r="F129"/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S129">
            <v>0</v>
          </cell>
        </row>
        <row r="130">
          <cell r="F130">
            <v>416.66666666666669</v>
          </cell>
          <cell r="G130">
            <v>416.66666666666669</v>
          </cell>
          <cell r="H130">
            <v>416.66666666666669</v>
          </cell>
          <cell r="I130">
            <v>416.66666666666669</v>
          </cell>
          <cell r="J130">
            <v>416.66666666666669</v>
          </cell>
          <cell r="K130">
            <v>416.66666666666669</v>
          </cell>
          <cell r="L130">
            <v>416.66666666666669</v>
          </cell>
          <cell r="M130">
            <v>416.66666666666669</v>
          </cell>
          <cell r="N130">
            <v>416.66666666666669</v>
          </cell>
          <cell r="O130">
            <v>416.66666666666669</v>
          </cell>
          <cell r="P130">
            <v>416.66666666666669</v>
          </cell>
          <cell r="Q130">
            <v>416.66666666666669</v>
          </cell>
          <cell r="S130">
            <v>5000</v>
          </cell>
        </row>
        <row r="131">
          <cell r="F131"/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S131">
            <v>0</v>
          </cell>
        </row>
        <row r="132">
          <cell r="F132"/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S132">
            <v>0</v>
          </cell>
        </row>
        <row r="133">
          <cell r="F133"/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S133">
            <v>0</v>
          </cell>
        </row>
        <row r="134">
          <cell r="F134"/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S134">
            <v>0</v>
          </cell>
        </row>
        <row r="135">
          <cell r="F135"/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S135">
            <v>0</v>
          </cell>
        </row>
        <row r="136">
          <cell r="F136"/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S136">
            <v>0</v>
          </cell>
        </row>
        <row r="137">
          <cell r="F137"/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S137">
            <v>0</v>
          </cell>
        </row>
        <row r="138">
          <cell r="F138"/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S138">
            <v>0</v>
          </cell>
        </row>
        <row r="139">
          <cell r="F139"/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S139">
            <v>0</v>
          </cell>
        </row>
        <row r="140">
          <cell r="F140"/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S140">
            <v>0</v>
          </cell>
        </row>
        <row r="141">
          <cell r="F141"/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S141">
            <v>0</v>
          </cell>
        </row>
        <row r="142">
          <cell r="F142"/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S142">
            <v>0</v>
          </cell>
        </row>
        <row r="143">
          <cell r="F143">
            <v>45000</v>
          </cell>
          <cell r="G143">
            <v>15000</v>
          </cell>
          <cell r="H143">
            <v>95000</v>
          </cell>
          <cell r="I143">
            <v>35000</v>
          </cell>
          <cell r="J143">
            <v>15000</v>
          </cell>
          <cell r="K143">
            <v>55000</v>
          </cell>
          <cell r="L143">
            <v>77500</v>
          </cell>
          <cell r="M143">
            <v>147500</v>
          </cell>
          <cell r="N143">
            <v>147500</v>
          </cell>
          <cell r="O143">
            <v>72500</v>
          </cell>
          <cell r="P143">
            <v>15000</v>
          </cell>
          <cell r="Q143">
            <v>0</v>
          </cell>
          <cell r="S143">
            <v>720000</v>
          </cell>
        </row>
        <row r="144">
          <cell r="F144">
            <v>0</v>
          </cell>
          <cell r="G144">
            <v>0</v>
          </cell>
          <cell r="H144">
            <v>12500</v>
          </cell>
          <cell r="I144">
            <v>10000</v>
          </cell>
          <cell r="J144">
            <v>10000</v>
          </cell>
          <cell r="K144">
            <v>0</v>
          </cell>
          <cell r="L144">
            <v>0</v>
          </cell>
          <cell r="M144">
            <v>12500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S144">
            <v>45000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S145">
            <v>0</v>
          </cell>
        </row>
        <row r="146">
          <cell r="S146">
            <v>170000.00000000006</v>
          </cell>
        </row>
        <row r="147">
          <cell r="F147">
            <v>0</v>
          </cell>
          <cell r="G147">
            <v>8500</v>
          </cell>
          <cell r="H147">
            <v>8500</v>
          </cell>
          <cell r="I147">
            <v>8500</v>
          </cell>
          <cell r="J147">
            <v>8500</v>
          </cell>
          <cell r="K147">
            <v>8500</v>
          </cell>
          <cell r="L147">
            <v>8500</v>
          </cell>
          <cell r="M147">
            <v>8500</v>
          </cell>
          <cell r="N147">
            <v>8500</v>
          </cell>
          <cell r="O147">
            <v>8500</v>
          </cell>
          <cell r="P147">
            <v>8500</v>
          </cell>
          <cell r="Q147">
            <v>0</v>
          </cell>
          <cell r="S147">
            <v>85000</v>
          </cell>
        </row>
        <row r="148">
          <cell r="F148">
            <v>0</v>
          </cell>
          <cell r="G148">
            <v>7727.272727272727</v>
          </cell>
          <cell r="H148">
            <v>7727.272727272727</v>
          </cell>
          <cell r="I148">
            <v>7727.272727272727</v>
          </cell>
          <cell r="J148">
            <v>7727.272727272727</v>
          </cell>
          <cell r="K148">
            <v>7727.272727272727</v>
          </cell>
          <cell r="L148">
            <v>7727.272727272727</v>
          </cell>
          <cell r="M148">
            <v>7727.272727272727</v>
          </cell>
          <cell r="N148">
            <v>7727.272727272727</v>
          </cell>
          <cell r="O148">
            <v>7727.272727272727</v>
          </cell>
          <cell r="P148">
            <v>7727.272727272727</v>
          </cell>
          <cell r="Q148">
            <v>7727.272727272727</v>
          </cell>
          <cell r="S148">
            <v>84999.999999999985</v>
          </cell>
        </row>
        <row r="149">
          <cell r="S149">
            <v>120000</v>
          </cell>
        </row>
        <row r="150">
          <cell r="F150">
            <v>25000</v>
          </cell>
          <cell r="G150">
            <v>25000</v>
          </cell>
          <cell r="H150">
            <v>2500</v>
          </cell>
          <cell r="I150">
            <v>2500</v>
          </cell>
          <cell r="J150">
            <v>2500</v>
          </cell>
          <cell r="K150">
            <v>2500</v>
          </cell>
          <cell r="L150">
            <v>2500</v>
          </cell>
          <cell r="M150">
            <v>2500</v>
          </cell>
          <cell r="N150">
            <v>2500</v>
          </cell>
          <cell r="O150">
            <v>2500</v>
          </cell>
          <cell r="P150">
            <v>25000</v>
          </cell>
          <cell r="Q150">
            <v>25000</v>
          </cell>
          <cell r="S150">
            <v>120000</v>
          </cell>
        </row>
        <row r="151">
          <cell r="F151"/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S151">
            <v>0</v>
          </cell>
        </row>
        <row r="152">
          <cell r="F152"/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S152">
            <v>0</v>
          </cell>
        </row>
        <row r="153">
          <cell r="F153"/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S153">
            <v>0</v>
          </cell>
        </row>
        <row r="154">
          <cell r="F154"/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S154">
            <v>0</v>
          </cell>
        </row>
        <row r="155">
          <cell r="F155"/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</row>
        <row r="156">
          <cell r="F156"/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S156">
            <v>0</v>
          </cell>
        </row>
        <row r="157">
          <cell r="F157"/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S157">
            <v>0</v>
          </cell>
        </row>
        <row r="158">
          <cell r="F158"/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S158">
            <v>0</v>
          </cell>
        </row>
        <row r="159">
          <cell r="F159"/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S159">
            <v>0</v>
          </cell>
        </row>
        <row r="160">
          <cell r="F160"/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</row>
        <row r="161">
          <cell r="F161"/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S161">
            <v>0</v>
          </cell>
        </row>
        <row r="162">
          <cell r="F162"/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S162">
            <v>0</v>
          </cell>
        </row>
        <row r="163">
          <cell r="F163"/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S163">
            <v>0</v>
          </cell>
        </row>
        <row r="164">
          <cell r="F164"/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</row>
        <row r="165">
          <cell r="F165"/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</row>
        <row r="166">
          <cell r="F166"/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</row>
        <row r="167">
          <cell r="F167"/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S167">
            <v>0</v>
          </cell>
        </row>
        <row r="168">
          <cell r="F168"/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S168">
            <v>0</v>
          </cell>
        </row>
        <row r="169">
          <cell r="F169"/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0</v>
          </cell>
        </row>
        <row r="170">
          <cell r="F170"/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0</v>
          </cell>
        </row>
        <row r="171">
          <cell r="F171"/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S171">
            <v>0</v>
          </cell>
        </row>
        <row r="172">
          <cell r="F172"/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S172">
            <v>0</v>
          </cell>
        </row>
        <row r="173">
          <cell r="F173"/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S173">
            <v>0</v>
          </cell>
        </row>
        <row r="174">
          <cell r="F174"/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S174">
            <v>0</v>
          </cell>
        </row>
        <row r="175">
          <cell r="S175">
            <v>24000</v>
          </cell>
        </row>
        <row r="176">
          <cell r="F176">
            <v>2000</v>
          </cell>
          <cell r="G176">
            <v>2000</v>
          </cell>
          <cell r="H176">
            <v>2000</v>
          </cell>
          <cell r="I176">
            <v>2000</v>
          </cell>
          <cell r="J176">
            <v>2000</v>
          </cell>
          <cell r="K176">
            <v>2000</v>
          </cell>
          <cell r="L176">
            <v>2000</v>
          </cell>
          <cell r="M176">
            <v>2000</v>
          </cell>
          <cell r="N176">
            <v>2000</v>
          </cell>
          <cell r="O176">
            <v>2000</v>
          </cell>
          <cell r="P176">
            <v>2000</v>
          </cell>
          <cell r="Q176">
            <v>2000</v>
          </cell>
          <cell r="S176">
            <v>24000</v>
          </cell>
        </row>
        <row r="177">
          <cell r="F177"/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0</v>
          </cell>
        </row>
        <row r="178">
          <cell r="F178"/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S178">
            <v>0</v>
          </cell>
        </row>
        <row r="179">
          <cell r="F179"/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S179">
            <v>0</v>
          </cell>
        </row>
        <row r="180">
          <cell r="F180"/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S180">
            <v>0</v>
          </cell>
        </row>
        <row r="181">
          <cell r="F181"/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S181">
            <v>0</v>
          </cell>
        </row>
        <row r="182">
          <cell r="F182"/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S182">
            <v>0</v>
          </cell>
        </row>
        <row r="183">
          <cell r="F183"/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S183">
            <v>0</v>
          </cell>
        </row>
        <row r="184">
          <cell r="F184"/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S184">
            <v>0</v>
          </cell>
        </row>
        <row r="185">
          <cell r="F185"/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S185">
            <v>0</v>
          </cell>
        </row>
        <row r="186">
          <cell r="F186"/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S186">
            <v>0</v>
          </cell>
        </row>
        <row r="187">
          <cell r="F187"/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S187">
            <v>0</v>
          </cell>
        </row>
        <row r="188">
          <cell r="F188"/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S188">
            <v>0</v>
          </cell>
        </row>
        <row r="189">
          <cell r="F189"/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S189">
            <v>0</v>
          </cell>
        </row>
        <row r="190">
          <cell r="F190"/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S190">
            <v>0</v>
          </cell>
        </row>
        <row r="191">
          <cell r="F191"/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S191">
            <v>0</v>
          </cell>
        </row>
        <row r="192">
          <cell r="F192"/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S192">
            <v>0</v>
          </cell>
        </row>
        <row r="193">
          <cell r="F193"/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0</v>
          </cell>
        </row>
        <row r="194">
          <cell r="F194"/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S194">
            <v>0</v>
          </cell>
        </row>
        <row r="195">
          <cell r="F195"/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S195">
            <v>0</v>
          </cell>
        </row>
        <row r="196">
          <cell r="F196"/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S196">
            <v>0</v>
          </cell>
        </row>
        <row r="197">
          <cell r="F197"/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0</v>
          </cell>
        </row>
        <row r="198">
          <cell r="F198"/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S198">
            <v>0</v>
          </cell>
        </row>
        <row r="199">
          <cell r="F199"/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S199">
            <v>0</v>
          </cell>
        </row>
        <row r="200">
          <cell r="S200">
            <v>0</v>
          </cell>
        </row>
        <row r="201">
          <cell r="F201"/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S201">
            <v>0</v>
          </cell>
        </row>
        <row r="202">
          <cell r="F202"/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S202">
            <v>0</v>
          </cell>
        </row>
        <row r="203">
          <cell r="F203"/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S203">
            <v>0</v>
          </cell>
        </row>
        <row r="204">
          <cell r="F204"/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S204">
            <v>0</v>
          </cell>
        </row>
        <row r="205">
          <cell r="S205">
            <v>616636.7555017001</v>
          </cell>
        </row>
        <row r="206">
          <cell r="F206"/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S206">
            <v>0</v>
          </cell>
        </row>
        <row r="207">
          <cell r="F207"/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S207">
            <v>0</v>
          </cell>
        </row>
        <row r="208">
          <cell r="F208"/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S208">
            <v>0</v>
          </cell>
        </row>
        <row r="209">
          <cell r="F209">
            <v>20000</v>
          </cell>
          <cell r="G209">
            <v>0</v>
          </cell>
          <cell r="H209">
            <v>15000</v>
          </cell>
          <cell r="I209">
            <v>30000</v>
          </cell>
          <cell r="J209">
            <v>0</v>
          </cell>
          <cell r="K209">
            <v>30000</v>
          </cell>
          <cell r="L209">
            <v>0</v>
          </cell>
          <cell r="M209">
            <v>0</v>
          </cell>
          <cell r="N209">
            <v>15000</v>
          </cell>
          <cell r="O209">
            <v>0</v>
          </cell>
          <cell r="P209">
            <v>15000</v>
          </cell>
          <cell r="Q209">
            <v>0</v>
          </cell>
          <cell r="S209">
            <v>125000</v>
          </cell>
        </row>
        <row r="210">
          <cell r="F210"/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S210">
            <v>0</v>
          </cell>
        </row>
        <row r="211">
          <cell r="F211"/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S211">
            <v>0</v>
          </cell>
        </row>
        <row r="212">
          <cell r="F212"/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S212">
            <v>0</v>
          </cell>
        </row>
        <row r="213">
          <cell r="F213"/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S213">
            <v>0</v>
          </cell>
        </row>
        <row r="214">
          <cell r="F214"/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S214">
            <v>0</v>
          </cell>
        </row>
        <row r="215">
          <cell r="F215"/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S215">
            <v>0</v>
          </cell>
        </row>
        <row r="216">
          <cell r="F216"/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S216">
            <v>0</v>
          </cell>
        </row>
        <row r="217">
          <cell r="F217"/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S217">
            <v>0</v>
          </cell>
        </row>
        <row r="218">
          <cell r="F218"/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S218">
            <v>0</v>
          </cell>
        </row>
        <row r="219">
          <cell r="F219"/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S219">
            <v>0</v>
          </cell>
        </row>
        <row r="220">
          <cell r="F220"/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S220">
            <v>0</v>
          </cell>
        </row>
        <row r="221">
          <cell r="F221"/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S221">
            <v>0</v>
          </cell>
        </row>
        <row r="222">
          <cell r="F222"/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S222">
            <v>0</v>
          </cell>
        </row>
        <row r="223">
          <cell r="F223"/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S223">
            <v>0</v>
          </cell>
        </row>
        <row r="224">
          <cell r="F224"/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S224">
            <v>0</v>
          </cell>
        </row>
        <row r="225">
          <cell r="F225"/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S225">
            <v>0</v>
          </cell>
        </row>
        <row r="226">
          <cell r="F226"/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S226">
            <v>0</v>
          </cell>
        </row>
        <row r="227">
          <cell r="F227"/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S227">
            <v>0</v>
          </cell>
        </row>
        <row r="228">
          <cell r="F228"/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S228">
            <v>0</v>
          </cell>
        </row>
        <row r="229">
          <cell r="F229"/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S229">
            <v>0</v>
          </cell>
        </row>
        <row r="230">
          <cell r="F230"/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S230">
            <v>0</v>
          </cell>
        </row>
        <row r="231">
          <cell r="F231"/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S231">
            <v>0</v>
          </cell>
        </row>
        <row r="232">
          <cell r="F232"/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S232">
            <v>0</v>
          </cell>
        </row>
        <row r="233">
          <cell r="F233">
            <v>15000</v>
          </cell>
          <cell r="G233">
            <v>80000</v>
          </cell>
          <cell r="H233">
            <v>40000</v>
          </cell>
          <cell r="I233">
            <v>50000</v>
          </cell>
          <cell r="J233">
            <v>0</v>
          </cell>
          <cell r="K233">
            <v>80000</v>
          </cell>
          <cell r="L233">
            <v>0</v>
          </cell>
          <cell r="M233">
            <v>30000</v>
          </cell>
          <cell r="N233">
            <v>0</v>
          </cell>
          <cell r="O233">
            <v>0</v>
          </cell>
          <cell r="P233">
            <v>0</v>
          </cell>
          <cell r="Q233">
            <v>30000</v>
          </cell>
          <cell r="S233">
            <v>325000</v>
          </cell>
        </row>
        <row r="234">
          <cell r="F234">
            <v>0</v>
          </cell>
          <cell r="G234">
            <v>0</v>
          </cell>
          <cell r="H234">
            <v>8000</v>
          </cell>
          <cell r="I234">
            <v>8000</v>
          </cell>
          <cell r="J234">
            <v>8000</v>
          </cell>
          <cell r="K234">
            <v>8000</v>
          </cell>
          <cell r="L234">
            <v>8000</v>
          </cell>
          <cell r="M234">
            <v>8000</v>
          </cell>
          <cell r="N234">
            <v>8000</v>
          </cell>
          <cell r="O234">
            <v>8000</v>
          </cell>
          <cell r="P234">
            <v>8000</v>
          </cell>
          <cell r="Q234">
            <v>8000</v>
          </cell>
          <cell r="S234">
            <v>80000</v>
          </cell>
        </row>
        <row r="235">
          <cell r="F235">
            <v>7219.7296251416656</v>
          </cell>
          <cell r="G235">
            <v>7219.7296251416656</v>
          </cell>
          <cell r="H235">
            <v>7219.7296251416656</v>
          </cell>
          <cell r="I235">
            <v>7219.7296251416656</v>
          </cell>
          <cell r="J235">
            <v>7219.7296251416656</v>
          </cell>
          <cell r="K235">
            <v>7219.7296251416656</v>
          </cell>
          <cell r="L235">
            <v>7219.7296251416656</v>
          </cell>
          <cell r="M235">
            <v>7219.7296251416656</v>
          </cell>
          <cell r="N235">
            <v>7219.7296251416656</v>
          </cell>
          <cell r="O235">
            <v>7219.7296251416656</v>
          </cell>
          <cell r="P235">
            <v>7219.7296251416656</v>
          </cell>
          <cell r="Q235">
            <v>7219.7296251416656</v>
          </cell>
          <cell r="S235">
            <v>86636.755501699983</v>
          </cell>
        </row>
        <row r="236">
          <cell r="F236"/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S236">
            <v>0</v>
          </cell>
        </row>
        <row r="237">
          <cell r="S237">
            <v>3366</v>
          </cell>
        </row>
        <row r="238">
          <cell r="F238"/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S238">
            <v>0</v>
          </cell>
        </row>
        <row r="239">
          <cell r="F239"/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S239">
            <v>0</v>
          </cell>
        </row>
        <row r="240">
          <cell r="F240"/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S240">
            <v>0</v>
          </cell>
        </row>
        <row r="241">
          <cell r="F241"/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S241">
            <v>0</v>
          </cell>
        </row>
        <row r="242">
          <cell r="F242"/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S242">
            <v>0</v>
          </cell>
        </row>
        <row r="243"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561</v>
          </cell>
          <cell r="M243">
            <v>561</v>
          </cell>
          <cell r="N243">
            <v>561</v>
          </cell>
          <cell r="O243">
            <v>561</v>
          </cell>
          <cell r="P243">
            <v>561</v>
          </cell>
          <cell r="Q243">
            <v>561</v>
          </cell>
          <cell r="S243">
            <v>3366</v>
          </cell>
        </row>
        <row r="244">
          <cell r="F244"/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S244">
            <v>0</v>
          </cell>
        </row>
        <row r="245">
          <cell r="S245">
            <v>12693.837240000001</v>
          </cell>
        </row>
        <row r="246">
          <cell r="F246"/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S246">
            <v>0</v>
          </cell>
        </row>
        <row r="247">
          <cell r="F247">
            <v>580.37175000000002</v>
          </cell>
          <cell r="G247">
            <v>580.37175000000002</v>
          </cell>
          <cell r="H247">
            <v>580.37175000000002</v>
          </cell>
          <cell r="I247">
            <v>580.37175000000002</v>
          </cell>
          <cell r="J247">
            <v>580.37175000000002</v>
          </cell>
          <cell r="K247">
            <v>580.37175000000002</v>
          </cell>
          <cell r="L247">
            <v>580.37175000000002</v>
          </cell>
          <cell r="M247">
            <v>580.37175000000002</v>
          </cell>
          <cell r="N247">
            <v>580.37175000000002</v>
          </cell>
          <cell r="O247">
            <v>580.37175000000002</v>
          </cell>
          <cell r="P247">
            <v>580.37175000000002</v>
          </cell>
          <cell r="Q247">
            <v>580.37175000000002</v>
          </cell>
          <cell r="S247">
            <v>6964.4610000000021</v>
          </cell>
        </row>
        <row r="248">
          <cell r="F248">
            <v>477.44802000000004</v>
          </cell>
          <cell r="G248">
            <v>477.44802000000004</v>
          </cell>
          <cell r="H248">
            <v>477.44802000000004</v>
          </cell>
          <cell r="I248">
            <v>477.44802000000004</v>
          </cell>
          <cell r="J248">
            <v>477.44802000000004</v>
          </cell>
          <cell r="K248">
            <v>477.44802000000004</v>
          </cell>
          <cell r="L248">
            <v>477.44802000000004</v>
          </cell>
          <cell r="M248">
            <v>477.44802000000004</v>
          </cell>
          <cell r="N248">
            <v>477.44802000000004</v>
          </cell>
          <cell r="O248">
            <v>477.44802000000004</v>
          </cell>
          <cell r="P248">
            <v>477.44802000000004</v>
          </cell>
          <cell r="Q248">
            <v>477.44802000000004</v>
          </cell>
          <cell r="S248">
            <v>5729.3762399999987</v>
          </cell>
        </row>
        <row r="249">
          <cell r="S249">
            <v>1515677.8843924995</v>
          </cell>
        </row>
        <row r="250">
          <cell r="F250"/>
          <cell r="G250">
            <v>18181.81818181818</v>
          </cell>
          <cell r="H250">
            <v>18181.81818181818</v>
          </cell>
          <cell r="I250">
            <v>18181.81818181818</v>
          </cell>
          <cell r="J250">
            <v>18181.81818181818</v>
          </cell>
          <cell r="K250">
            <v>18181.81818181818</v>
          </cell>
          <cell r="L250">
            <v>18181.81818181818</v>
          </cell>
          <cell r="M250">
            <v>18181.81818181818</v>
          </cell>
          <cell r="N250">
            <v>18181.81818181818</v>
          </cell>
          <cell r="O250">
            <v>18181.81818181818</v>
          </cell>
          <cell r="P250">
            <v>18181.81818181818</v>
          </cell>
          <cell r="Q250">
            <v>18181.81818181818</v>
          </cell>
          <cell r="S250">
            <v>199999.99999999997</v>
          </cell>
        </row>
        <row r="251">
          <cell r="F251"/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14000</v>
          </cell>
          <cell r="N251">
            <v>14000</v>
          </cell>
          <cell r="O251">
            <v>14000</v>
          </cell>
          <cell r="P251">
            <v>14000</v>
          </cell>
          <cell r="Q251">
            <v>14000</v>
          </cell>
          <cell r="S251">
            <v>70000</v>
          </cell>
        </row>
        <row r="252">
          <cell r="F252">
            <v>3000</v>
          </cell>
          <cell r="G252">
            <v>3000</v>
          </cell>
          <cell r="H252">
            <v>3000</v>
          </cell>
          <cell r="I252">
            <v>3000</v>
          </cell>
          <cell r="J252">
            <v>3000</v>
          </cell>
          <cell r="K252">
            <v>3000</v>
          </cell>
          <cell r="L252">
            <v>3000</v>
          </cell>
          <cell r="M252">
            <v>3000</v>
          </cell>
          <cell r="N252">
            <v>3000</v>
          </cell>
          <cell r="O252">
            <v>3000</v>
          </cell>
          <cell r="P252">
            <v>3000</v>
          </cell>
          <cell r="Q252">
            <v>3000</v>
          </cell>
          <cell r="S252">
            <v>36000</v>
          </cell>
        </row>
        <row r="253">
          <cell r="F253"/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S253">
            <v>0</v>
          </cell>
        </row>
        <row r="254">
          <cell r="F254"/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S254">
            <v>0</v>
          </cell>
        </row>
        <row r="255">
          <cell r="F255"/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S255">
            <v>0</v>
          </cell>
        </row>
        <row r="256">
          <cell r="F256"/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S256">
            <v>0</v>
          </cell>
        </row>
        <row r="257">
          <cell r="F257"/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S257">
            <v>0</v>
          </cell>
        </row>
        <row r="258">
          <cell r="F258">
            <v>37458.687999999995</v>
          </cell>
          <cell r="G258">
            <v>37458.687999999995</v>
          </cell>
          <cell r="H258">
            <v>37458.687999999995</v>
          </cell>
          <cell r="I258">
            <v>37458.687999999995</v>
          </cell>
          <cell r="J258">
            <v>37458.687999999995</v>
          </cell>
          <cell r="K258">
            <v>48458.687999999995</v>
          </cell>
          <cell r="L258">
            <v>37458.687999999995</v>
          </cell>
          <cell r="M258">
            <v>37458.687999999995</v>
          </cell>
          <cell r="N258">
            <v>37458.687999999995</v>
          </cell>
          <cell r="O258">
            <v>37458.687999999995</v>
          </cell>
          <cell r="P258">
            <v>37458.687999999995</v>
          </cell>
          <cell r="Q258">
            <v>48458.687999999995</v>
          </cell>
          <cell r="S258">
            <v>471504.25599999982</v>
          </cell>
        </row>
        <row r="259">
          <cell r="F259">
            <v>1166.6666666666667</v>
          </cell>
          <cell r="G259">
            <v>1166.6666666666667</v>
          </cell>
          <cell r="H259">
            <v>1166.6666666666667</v>
          </cell>
          <cell r="I259">
            <v>1166.6666666666667</v>
          </cell>
          <cell r="J259">
            <v>1166.6666666666667</v>
          </cell>
          <cell r="K259">
            <v>1166.6666666666667</v>
          </cell>
          <cell r="L259">
            <v>1166.6666666666667</v>
          </cell>
          <cell r="M259">
            <v>1166.6666666666667</v>
          </cell>
          <cell r="N259">
            <v>1166.6666666666667</v>
          </cell>
          <cell r="O259">
            <v>1166.6666666666667</v>
          </cell>
          <cell r="P259">
            <v>1166.6666666666667</v>
          </cell>
          <cell r="Q259">
            <v>1166.6666666666667</v>
          </cell>
          <cell r="S259">
            <v>13999.999999999998</v>
          </cell>
        </row>
        <row r="260">
          <cell r="F260"/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S260">
            <v>0</v>
          </cell>
        </row>
        <row r="261">
          <cell r="F261">
            <v>15000</v>
          </cell>
          <cell r="G261">
            <v>15000</v>
          </cell>
          <cell r="H261">
            <v>15000</v>
          </cell>
          <cell r="I261">
            <v>15000</v>
          </cell>
          <cell r="J261">
            <v>15000</v>
          </cell>
          <cell r="K261">
            <v>15975</v>
          </cell>
          <cell r="L261">
            <v>15975</v>
          </cell>
          <cell r="M261">
            <v>31950</v>
          </cell>
          <cell r="N261">
            <v>15975</v>
          </cell>
          <cell r="O261">
            <v>15975</v>
          </cell>
          <cell r="P261">
            <v>15975</v>
          </cell>
          <cell r="Q261">
            <v>15975</v>
          </cell>
          <cell r="S261">
            <v>202800</v>
          </cell>
        </row>
        <row r="262">
          <cell r="F262"/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S262">
            <v>0</v>
          </cell>
        </row>
        <row r="263">
          <cell r="F263">
            <v>20000</v>
          </cell>
          <cell r="G263">
            <v>20000</v>
          </cell>
          <cell r="H263">
            <v>20000</v>
          </cell>
          <cell r="I263">
            <v>20000</v>
          </cell>
          <cell r="J263">
            <v>20000</v>
          </cell>
          <cell r="K263">
            <v>20000</v>
          </cell>
          <cell r="L263">
            <v>20000</v>
          </cell>
          <cell r="M263">
            <v>20000</v>
          </cell>
          <cell r="N263">
            <v>20000</v>
          </cell>
          <cell r="O263">
            <v>20000</v>
          </cell>
          <cell r="P263">
            <v>20000</v>
          </cell>
          <cell r="Q263">
            <v>40000</v>
          </cell>
          <cell r="S263">
            <v>260000</v>
          </cell>
        </row>
        <row r="264">
          <cell r="F264">
            <v>9583.3333333333321</v>
          </cell>
          <cell r="G264">
            <v>9583.3333333333321</v>
          </cell>
          <cell r="H264">
            <v>9583.3333333333321</v>
          </cell>
          <cell r="I264">
            <v>9583.3333333333321</v>
          </cell>
          <cell r="J264">
            <v>9583.3333333333321</v>
          </cell>
          <cell r="K264">
            <v>9583.3333333333321</v>
          </cell>
          <cell r="L264">
            <v>9583.3333333333321</v>
          </cell>
          <cell r="M264">
            <v>9583.3333333333321</v>
          </cell>
          <cell r="N264">
            <v>9583.3333333333321</v>
          </cell>
          <cell r="O264">
            <v>9583.3333333333321</v>
          </cell>
          <cell r="P264">
            <v>9583.3333333333321</v>
          </cell>
          <cell r="Q264">
            <v>9583.3333333333321</v>
          </cell>
          <cell r="S264">
            <v>114999.99999999996</v>
          </cell>
        </row>
        <row r="265">
          <cell r="F265">
            <v>416.66666666666669</v>
          </cell>
          <cell r="G265">
            <v>416.66666666666669</v>
          </cell>
          <cell r="H265">
            <v>416.66666666666669</v>
          </cell>
          <cell r="I265">
            <v>416.66666666666669</v>
          </cell>
          <cell r="J265">
            <v>416.66666666666669</v>
          </cell>
          <cell r="K265">
            <v>416.66666666666669</v>
          </cell>
          <cell r="L265">
            <v>416.66666666666669</v>
          </cell>
          <cell r="M265">
            <v>416.66666666666669</v>
          </cell>
          <cell r="N265">
            <v>416.66666666666669</v>
          </cell>
          <cell r="O265">
            <v>416.66666666666669</v>
          </cell>
          <cell r="P265">
            <v>416.66666666666669</v>
          </cell>
          <cell r="Q265">
            <v>416.66666666666669</v>
          </cell>
          <cell r="S265">
            <v>5000</v>
          </cell>
        </row>
        <row r="266">
          <cell r="F266"/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S266">
            <v>0</v>
          </cell>
        </row>
        <row r="267">
          <cell r="F267">
            <v>11118.649500000001</v>
          </cell>
          <cell r="G267">
            <v>11841.361717500002</v>
          </cell>
          <cell r="H267">
            <v>11841.361717500002</v>
          </cell>
          <cell r="I267">
            <v>11841.361717500002</v>
          </cell>
          <cell r="J267">
            <v>11841.361717500002</v>
          </cell>
          <cell r="K267">
            <v>11841.361717500002</v>
          </cell>
          <cell r="L267">
            <v>11841.361717500002</v>
          </cell>
          <cell r="M267">
            <v>11841.361717500002</v>
          </cell>
          <cell r="N267">
            <v>11841.361717500002</v>
          </cell>
          <cell r="O267">
            <v>11841.361717500002</v>
          </cell>
          <cell r="P267">
            <v>11841.361717500002</v>
          </cell>
          <cell r="Q267">
            <v>11841.361717500002</v>
          </cell>
          <cell r="S267">
            <v>141373.62839249999</v>
          </cell>
        </row>
        <row r="268">
          <cell r="S268">
            <v>22200</v>
          </cell>
        </row>
        <row r="269">
          <cell r="F269">
            <v>450</v>
          </cell>
          <cell r="G269">
            <v>450</v>
          </cell>
          <cell r="H269">
            <v>450</v>
          </cell>
          <cell r="I269">
            <v>450</v>
          </cell>
          <cell r="J269">
            <v>450</v>
          </cell>
          <cell r="K269">
            <v>450</v>
          </cell>
          <cell r="L269">
            <v>450</v>
          </cell>
          <cell r="M269">
            <v>450</v>
          </cell>
          <cell r="N269">
            <v>450</v>
          </cell>
          <cell r="O269">
            <v>450</v>
          </cell>
          <cell r="P269">
            <v>450</v>
          </cell>
          <cell r="Q269">
            <v>450</v>
          </cell>
          <cell r="S269">
            <v>5400</v>
          </cell>
        </row>
        <row r="270">
          <cell r="F270">
            <v>650</v>
          </cell>
          <cell r="G270">
            <v>650</v>
          </cell>
          <cell r="H270">
            <v>650</v>
          </cell>
          <cell r="I270">
            <v>650</v>
          </cell>
          <cell r="J270">
            <v>650</v>
          </cell>
          <cell r="K270">
            <v>650</v>
          </cell>
          <cell r="L270">
            <v>650</v>
          </cell>
          <cell r="M270">
            <v>650</v>
          </cell>
          <cell r="N270">
            <v>650</v>
          </cell>
          <cell r="O270">
            <v>650</v>
          </cell>
          <cell r="P270">
            <v>650</v>
          </cell>
          <cell r="Q270">
            <v>650</v>
          </cell>
          <cell r="S270">
            <v>7800</v>
          </cell>
        </row>
        <row r="271">
          <cell r="F271">
            <v>300</v>
          </cell>
          <cell r="G271">
            <v>300</v>
          </cell>
          <cell r="H271">
            <v>300</v>
          </cell>
          <cell r="I271">
            <v>300</v>
          </cell>
          <cell r="J271">
            <v>300</v>
          </cell>
          <cell r="K271">
            <v>300</v>
          </cell>
          <cell r="L271">
            <v>300</v>
          </cell>
          <cell r="M271">
            <v>300</v>
          </cell>
          <cell r="N271">
            <v>300</v>
          </cell>
          <cell r="O271">
            <v>300</v>
          </cell>
          <cell r="P271">
            <v>300</v>
          </cell>
          <cell r="Q271">
            <v>300</v>
          </cell>
          <cell r="S271">
            <v>3600</v>
          </cell>
        </row>
        <row r="272">
          <cell r="F272">
            <v>450</v>
          </cell>
          <cell r="G272">
            <v>450</v>
          </cell>
          <cell r="H272">
            <v>450</v>
          </cell>
          <cell r="I272">
            <v>450</v>
          </cell>
          <cell r="J272">
            <v>450</v>
          </cell>
          <cell r="K272">
            <v>450</v>
          </cell>
          <cell r="L272">
            <v>450</v>
          </cell>
          <cell r="M272">
            <v>450</v>
          </cell>
          <cell r="N272">
            <v>450</v>
          </cell>
          <cell r="O272">
            <v>450</v>
          </cell>
          <cell r="P272">
            <v>450</v>
          </cell>
          <cell r="Q272">
            <v>450</v>
          </cell>
          <cell r="S272">
            <v>5400</v>
          </cell>
        </row>
        <row r="273">
          <cell r="F273"/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S273">
            <v>0</v>
          </cell>
        </row>
        <row r="274">
          <cell r="S274">
            <v>12319.153200000002</v>
          </cell>
        </row>
        <row r="275">
          <cell r="F275">
            <v>1026.5961</v>
          </cell>
          <cell r="G275">
            <v>1026.5961</v>
          </cell>
          <cell r="H275">
            <v>1026.5961</v>
          </cell>
          <cell r="I275">
            <v>1026.5961</v>
          </cell>
          <cell r="J275">
            <v>1026.5961</v>
          </cell>
          <cell r="K275">
            <v>1026.5961</v>
          </cell>
          <cell r="L275">
            <v>1026.5961</v>
          </cell>
          <cell r="M275">
            <v>1026.5961</v>
          </cell>
          <cell r="N275">
            <v>1026.5961</v>
          </cell>
          <cell r="O275">
            <v>1026.5961</v>
          </cell>
          <cell r="P275">
            <v>1026.5961</v>
          </cell>
          <cell r="Q275">
            <v>1026.5961</v>
          </cell>
          <cell r="S275">
            <v>12319.153200000002</v>
          </cell>
        </row>
        <row r="276"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S276">
            <v>0</v>
          </cell>
        </row>
        <row r="277">
          <cell r="F277"/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S277">
            <v>0</v>
          </cell>
        </row>
        <row r="278">
          <cell r="S278">
            <v>8079.9999999999973</v>
          </cell>
        </row>
        <row r="279">
          <cell r="F279"/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S279">
            <v>0</v>
          </cell>
        </row>
        <row r="280">
          <cell r="F280">
            <v>83.333333333333329</v>
          </cell>
          <cell r="G280">
            <v>83.333333333333329</v>
          </cell>
          <cell r="H280">
            <v>83.333333333333329</v>
          </cell>
          <cell r="I280">
            <v>83.333333333333329</v>
          </cell>
          <cell r="J280">
            <v>83.333333333333329</v>
          </cell>
          <cell r="K280">
            <v>83.333333333333329</v>
          </cell>
          <cell r="L280">
            <v>83.333333333333329</v>
          </cell>
          <cell r="M280">
            <v>83.333333333333329</v>
          </cell>
          <cell r="N280">
            <v>83.333333333333329</v>
          </cell>
          <cell r="O280">
            <v>83.333333333333329</v>
          </cell>
          <cell r="P280">
            <v>83.333333333333329</v>
          </cell>
          <cell r="Q280">
            <v>83.333333333333329</v>
          </cell>
          <cell r="S280">
            <v>1000.0000000000001</v>
          </cell>
        </row>
        <row r="281">
          <cell r="F281">
            <v>50</v>
          </cell>
          <cell r="G281">
            <v>50</v>
          </cell>
          <cell r="H281">
            <v>50</v>
          </cell>
          <cell r="I281">
            <v>50</v>
          </cell>
          <cell r="J281">
            <v>50</v>
          </cell>
          <cell r="K281">
            <v>50</v>
          </cell>
          <cell r="L281">
            <v>50</v>
          </cell>
          <cell r="M281">
            <v>50</v>
          </cell>
          <cell r="N281">
            <v>50</v>
          </cell>
          <cell r="O281">
            <v>50</v>
          </cell>
          <cell r="P281">
            <v>50</v>
          </cell>
          <cell r="Q281">
            <v>50</v>
          </cell>
          <cell r="S281">
            <v>600</v>
          </cell>
        </row>
        <row r="282">
          <cell r="F282">
            <v>40</v>
          </cell>
          <cell r="G282">
            <v>40</v>
          </cell>
          <cell r="H282">
            <v>40</v>
          </cell>
          <cell r="I282">
            <v>40</v>
          </cell>
          <cell r="J282">
            <v>40</v>
          </cell>
          <cell r="K282">
            <v>40</v>
          </cell>
          <cell r="L282">
            <v>40</v>
          </cell>
          <cell r="M282">
            <v>40</v>
          </cell>
          <cell r="N282">
            <v>40</v>
          </cell>
          <cell r="O282">
            <v>40</v>
          </cell>
          <cell r="P282">
            <v>40</v>
          </cell>
          <cell r="Q282">
            <v>40</v>
          </cell>
          <cell r="S282">
            <v>480</v>
          </cell>
        </row>
        <row r="283">
          <cell r="F283"/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S283">
            <v>0</v>
          </cell>
        </row>
        <row r="284">
          <cell r="F284"/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0</v>
          </cell>
        </row>
        <row r="285">
          <cell r="F285">
            <v>500</v>
          </cell>
          <cell r="G285">
            <v>500</v>
          </cell>
          <cell r="H285">
            <v>500</v>
          </cell>
          <cell r="I285">
            <v>500</v>
          </cell>
          <cell r="J285">
            <v>500</v>
          </cell>
          <cell r="K285">
            <v>500</v>
          </cell>
          <cell r="L285">
            <v>500</v>
          </cell>
          <cell r="M285">
            <v>500</v>
          </cell>
          <cell r="N285">
            <v>500</v>
          </cell>
          <cell r="O285">
            <v>500</v>
          </cell>
          <cell r="P285">
            <v>500</v>
          </cell>
          <cell r="Q285">
            <v>500</v>
          </cell>
          <cell r="S285">
            <v>6000</v>
          </cell>
        </row>
        <row r="286">
          <cell r="S286">
            <v>70042.664999999994</v>
          </cell>
        </row>
        <row r="287">
          <cell r="F287">
            <v>2515.8887500000001</v>
          </cell>
          <cell r="G287">
            <v>2515.8887500000001</v>
          </cell>
          <cell r="H287">
            <v>2515.8887500000001</v>
          </cell>
          <cell r="I287">
            <v>2515.8887500000001</v>
          </cell>
          <cell r="J287">
            <v>2515.8887500000001</v>
          </cell>
          <cell r="K287">
            <v>2515.8887500000001</v>
          </cell>
          <cell r="L287">
            <v>2515.8887500000001</v>
          </cell>
          <cell r="M287">
            <v>2515.8887500000001</v>
          </cell>
          <cell r="N287">
            <v>2515.8887500000001</v>
          </cell>
          <cell r="O287">
            <v>2515.8887500000001</v>
          </cell>
          <cell r="P287">
            <v>2515.8887500000001</v>
          </cell>
          <cell r="Q287">
            <v>2515.8887500000001</v>
          </cell>
          <cell r="S287">
            <v>30190.664999999994</v>
          </cell>
        </row>
        <row r="288">
          <cell r="F288"/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S288">
            <v>0</v>
          </cell>
        </row>
        <row r="289"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1166.6666666666667</v>
          </cell>
          <cell r="M289">
            <v>1166.6666666666667</v>
          </cell>
          <cell r="N289">
            <v>1166.6666666666667</v>
          </cell>
          <cell r="O289">
            <v>1166.6666666666667</v>
          </cell>
          <cell r="P289">
            <v>1166.6666666666667</v>
          </cell>
          <cell r="Q289">
            <v>1166.6666666666667</v>
          </cell>
          <cell r="S289">
            <v>7000.0000000000009</v>
          </cell>
        </row>
        <row r="290">
          <cell r="F290">
            <v>833.33333333333337</v>
          </cell>
          <cell r="G290">
            <v>833.33333333333337</v>
          </cell>
          <cell r="H290">
            <v>833.33333333333337</v>
          </cell>
          <cell r="I290">
            <v>833.33333333333337</v>
          </cell>
          <cell r="J290">
            <v>833.33333333333337</v>
          </cell>
          <cell r="K290">
            <v>833.33333333333337</v>
          </cell>
          <cell r="L290">
            <v>833.33333333333337</v>
          </cell>
          <cell r="M290">
            <v>833.33333333333337</v>
          </cell>
          <cell r="N290">
            <v>833.33333333333337</v>
          </cell>
          <cell r="O290">
            <v>833.33333333333337</v>
          </cell>
          <cell r="P290">
            <v>833.33333333333337</v>
          </cell>
          <cell r="Q290">
            <v>833.33333333333337</v>
          </cell>
          <cell r="S290">
            <v>10000</v>
          </cell>
        </row>
        <row r="291">
          <cell r="F291">
            <v>833.33333333333337</v>
          </cell>
          <cell r="G291">
            <v>833.33333333333337</v>
          </cell>
          <cell r="H291">
            <v>833.33333333333337</v>
          </cell>
          <cell r="I291">
            <v>833.33333333333337</v>
          </cell>
          <cell r="J291">
            <v>833.33333333333337</v>
          </cell>
          <cell r="K291">
            <v>833.33333333333337</v>
          </cell>
          <cell r="L291">
            <v>833.33333333333337</v>
          </cell>
          <cell r="M291">
            <v>833.33333333333337</v>
          </cell>
          <cell r="N291">
            <v>833.33333333333337</v>
          </cell>
          <cell r="O291">
            <v>833.33333333333337</v>
          </cell>
          <cell r="P291">
            <v>833.33333333333337</v>
          </cell>
          <cell r="Q291">
            <v>833.33333333333337</v>
          </cell>
          <cell r="S291">
            <v>10000</v>
          </cell>
        </row>
        <row r="292">
          <cell r="F292">
            <v>1071</v>
          </cell>
          <cell r="G292">
            <v>1071</v>
          </cell>
          <cell r="H292">
            <v>1071</v>
          </cell>
          <cell r="I292">
            <v>1071</v>
          </cell>
          <cell r="J292">
            <v>1071</v>
          </cell>
          <cell r="K292">
            <v>1071</v>
          </cell>
          <cell r="L292">
            <v>1071</v>
          </cell>
          <cell r="M292">
            <v>1071</v>
          </cell>
          <cell r="N292">
            <v>1071</v>
          </cell>
          <cell r="O292">
            <v>1071</v>
          </cell>
          <cell r="P292">
            <v>1071</v>
          </cell>
          <cell r="Q292">
            <v>1071</v>
          </cell>
          <cell r="S292">
            <v>12852</v>
          </cell>
        </row>
        <row r="293">
          <cell r="F293"/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S293">
            <v>0</v>
          </cell>
        </row>
        <row r="294">
          <cell r="F294"/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S294">
            <v>0</v>
          </cell>
        </row>
        <row r="295">
          <cell r="F295"/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S295">
            <v>0</v>
          </cell>
        </row>
        <row r="296">
          <cell r="F296"/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S296">
            <v>0</v>
          </cell>
        </row>
        <row r="297">
          <cell r="S297">
            <v>0</v>
          </cell>
        </row>
        <row r="298">
          <cell r="F298"/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S298">
            <v>0</v>
          </cell>
        </row>
        <row r="299">
          <cell r="S299">
            <v>4945.7</v>
          </cell>
        </row>
        <row r="300">
          <cell r="F300"/>
          <cell r="G300">
            <v>200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S300">
            <v>200</v>
          </cell>
        </row>
        <row r="301">
          <cell r="F301"/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S301">
            <v>0</v>
          </cell>
        </row>
        <row r="302">
          <cell r="F302">
            <v>250</v>
          </cell>
          <cell r="G302">
            <v>250</v>
          </cell>
          <cell r="H302">
            <v>250</v>
          </cell>
          <cell r="I302">
            <v>250</v>
          </cell>
          <cell r="J302">
            <v>250</v>
          </cell>
          <cell r="K302">
            <v>250</v>
          </cell>
          <cell r="L302">
            <v>250</v>
          </cell>
          <cell r="M302">
            <v>250</v>
          </cell>
          <cell r="N302">
            <v>250</v>
          </cell>
          <cell r="O302">
            <v>250</v>
          </cell>
          <cell r="P302">
            <v>250</v>
          </cell>
          <cell r="Q302">
            <v>250</v>
          </cell>
          <cell r="S302">
            <v>3000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S303">
            <v>0</v>
          </cell>
        </row>
        <row r="304">
          <cell r="F304"/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S304">
            <v>0</v>
          </cell>
        </row>
        <row r="305">
          <cell r="F305"/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S305">
            <v>0</v>
          </cell>
        </row>
        <row r="306">
          <cell r="F306"/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S306">
            <v>0</v>
          </cell>
        </row>
        <row r="307">
          <cell r="F307"/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S307">
            <v>0</v>
          </cell>
        </row>
        <row r="308">
          <cell r="F308"/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S308">
            <v>0</v>
          </cell>
        </row>
        <row r="309"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S309">
            <v>0</v>
          </cell>
        </row>
        <row r="310">
          <cell r="F310"/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1745.7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S310">
            <v>1745.7</v>
          </cell>
        </row>
        <row r="311">
          <cell r="F311"/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S311">
            <v>0</v>
          </cell>
        </row>
        <row r="312">
          <cell r="F312"/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S312">
            <v>0</v>
          </cell>
        </row>
        <row r="313">
          <cell r="F313"/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S313">
            <v>0</v>
          </cell>
        </row>
        <row r="314">
          <cell r="S314">
            <v>43963.19999999999</v>
          </cell>
        </row>
        <row r="315">
          <cell r="F315"/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S315">
            <v>0</v>
          </cell>
        </row>
        <row r="316">
          <cell r="F316"/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S316">
            <v>0</v>
          </cell>
        </row>
        <row r="317">
          <cell r="F317">
            <v>3663.6</v>
          </cell>
          <cell r="G317">
            <v>3663.6</v>
          </cell>
          <cell r="H317">
            <v>3663.6</v>
          </cell>
          <cell r="I317">
            <v>3663.6</v>
          </cell>
          <cell r="J317">
            <v>3663.6</v>
          </cell>
          <cell r="K317">
            <v>3663.6</v>
          </cell>
          <cell r="L317">
            <v>3663.6</v>
          </cell>
          <cell r="M317">
            <v>3663.6</v>
          </cell>
          <cell r="N317">
            <v>3663.6</v>
          </cell>
          <cell r="O317">
            <v>3663.6</v>
          </cell>
          <cell r="P317">
            <v>3663.6</v>
          </cell>
          <cell r="Q317">
            <v>3663.6</v>
          </cell>
          <cell r="S317">
            <v>43963.19999999999</v>
          </cell>
        </row>
        <row r="318">
          <cell r="F318"/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S318">
            <v>0</v>
          </cell>
        </row>
        <row r="319">
          <cell r="F319"/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S319">
            <v>0</v>
          </cell>
        </row>
        <row r="320"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S320">
            <v>0</v>
          </cell>
        </row>
        <row r="321">
          <cell r="S321">
            <v>144000</v>
          </cell>
        </row>
        <row r="322">
          <cell r="F322">
            <v>12000</v>
          </cell>
          <cell r="G322">
            <v>12000</v>
          </cell>
          <cell r="H322">
            <v>12000</v>
          </cell>
          <cell r="I322">
            <v>12000</v>
          </cell>
          <cell r="J322">
            <v>12000</v>
          </cell>
          <cell r="K322">
            <v>12000</v>
          </cell>
          <cell r="L322">
            <v>12000</v>
          </cell>
          <cell r="M322">
            <v>12000</v>
          </cell>
          <cell r="N322">
            <v>12000</v>
          </cell>
          <cell r="O322">
            <v>12000</v>
          </cell>
          <cell r="P322">
            <v>12000</v>
          </cell>
          <cell r="Q322">
            <v>12000</v>
          </cell>
          <cell r="S322">
            <v>144000</v>
          </cell>
        </row>
        <row r="323">
          <cell r="F323"/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S323">
            <v>0</v>
          </cell>
        </row>
        <row r="324">
          <cell r="S324">
            <v>163800</v>
          </cell>
        </row>
        <row r="325">
          <cell r="F325"/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S325">
            <v>0</v>
          </cell>
        </row>
        <row r="326">
          <cell r="F326"/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1000</v>
          </cell>
          <cell r="M326">
            <v>1000</v>
          </cell>
          <cell r="N326">
            <v>1000</v>
          </cell>
          <cell r="O326">
            <v>1000</v>
          </cell>
          <cell r="P326">
            <v>1000</v>
          </cell>
          <cell r="Q326">
            <v>1000</v>
          </cell>
          <cell r="S326">
            <v>6000</v>
          </cell>
        </row>
        <row r="327">
          <cell r="F327"/>
          <cell r="G327">
            <v>0</v>
          </cell>
          <cell r="H327">
            <v>30000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S327">
            <v>30000</v>
          </cell>
        </row>
        <row r="328">
          <cell r="F328"/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S328">
            <v>0</v>
          </cell>
        </row>
        <row r="329">
          <cell r="F329"/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S329">
            <v>0</v>
          </cell>
        </row>
        <row r="330">
          <cell r="F330"/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S330">
            <v>0</v>
          </cell>
        </row>
        <row r="331">
          <cell r="F331"/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S331">
            <v>0</v>
          </cell>
        </row>
        <row r="332">
          <cell r="F332"/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S332">
            <v>0</v>
          </cell>
        </row>
        <row r="333">
          <cell r="F333"/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S333">
            <v>0</v>
          </cell>
        </row>
        <row r="334">
          <cell r="F334"/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S334">
            <v>0</v>
          </cell>
        </row>
        <row r="335">
          <cell r="F335">
            <v>2500</v>
          </cell>
          <cell r="G335">
            <v>2500</v>
          </cell>
          <cell r="H335">
            <v>2500</v>
          </cell>
          <cell r="I335">
            <v>2500</v>
          </cell>
          <cell r="J335">
            <v>2500</v>
          </cell>
          <cell r="K335">
            <v>2500</v>
          </cell>
          <cell r="L335">
            <v>2500</v>
          </cell>
          <cell r="M335">
            <v>2500</v>
          </cell>
          <cell r="N335">
            <v>2500</v>
          </cell>
          <cell r="O335">
            <v>2500</v>
          </cell>
          <cell r="P335">
            <v>2500</v>
          </cell>
          <cell r="Q335">
            <v>2500</v>
          </cell>
          <cell r="S335">
            <v>30000</v>
          </cell>
        </row>
        <row r="336">
          <cell r="F336">
            <v>3150</v>
          </cell>
          <cell r="G336">
            <v>3150</v>
          </cell>
          <cell r="H336">
            <v>3150</v>
          </cell>
          <cell r="I336">
            <v>3150</v>
          </cell>
          <cell r="J336">
            <v>3150</v>
          </cell>
          <cell r="K336">
            <v>3150</v>
          </cell>
          <cell r="L336">
            <v>3150</v>
          </cell>
          <cell r="M336">
            <v>3150</v>
          </cell>
          <cell r="N336">
            <v>3150</v>
          </cell>
          <cell r="O336">
            <v>3150</v>
          </cell>
          <cell r="P336">
            <v>3150</v>
          </cell>
          <cell r="Q336">
            <v>3150</v>
          </cell>
          <cell r="S336">
            <v>37800</v>
          </cell>
        </row>
        <row r="337">
          <cell r="F337"/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S337">
            <v>0</v>
          </cell>
        </row>
        <row r="338">
          <cell r="F338"/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S338">
            <v>0</v>
          </cell>
        </row>
        <row r="339">
          <cell r="F339"/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S339">
            <v>0</v>
          </cell>
        </row>
        <row r="340">
          <cell r="F340"/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S340">
            <v>0</v>
          </cell>
        </row>
        <row r="341">
          <cell r="F341">
            <v>0</v>
          </cell>
          <cell r="G341">
            <v>0</v>
          </cell>
          <cell r="H341">
            <v>30000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30000</v>
          </cell>
          <cell r="O341">
            <v>0</v>
          </cell>
          <cell r="P341">
            <v>0</v>
          </cell>
          <cell r="Q341">
            <v>0</v>
          </cell>
          <cell r="S341">
            <v>60000</v>
          </cell>
        </row>
        <row r="342">
          <cell r="F342"/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S342">
            <v>0</v>
          </cell>
        </row>
        <row r="343">
          <cell r="F343"/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S343">
            <v>0</v>
          </cell>
        </row>
        <row r="344">
          <cell r="F344"/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S344">
            <v>0</v>
          </cell>
        </row>
        <row r="345">
          <cell r="F345"/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S345">
            <v>0</v>
          </cell>
        </row>
        <row r="346">
          <cell r="F346"/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S346">
            <v>0</v>
          </cell>
        </row>
        <row r="347">
          <cell r="S347">
            <v>0</v>
          </cell>
        </row>
        <row r="348">
          <cell r="F348"/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S348">
            <v>0</v>
          </cell>
        </row>
        <row r="349">
          <cell r="F349"/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S349">
            <v>0</v>
          </cell>
        </row>
        <row r="350">
          <cell r="F350"/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S350">
            <v>0</v>
          </cell>
        </row>
        <row r="351">
          <cell r="F351"/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S351">
            <v>0</v>
          </cell>
        </row>
        <row r="352">
          <cell r="F352"/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S352">
            <v>0</v>
          </cell>
        </row>
        <row r="353">
          <cell r="F353"/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S353">
            <v>0</v>
          </cell>
        </row>
        <row r="354">
          <cell r="F354"/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S354">
            <v>0</v>
          </cell>
        </row>
        <row r="355">
          <cell r="S355">
            <v>296800</v>
          </cell>
        </row>
        <row r="356">
          <cell r="F356"/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S356">
            <v>0</v>
          </cell>
        </row>
        <row r="357">
          <cell r="F357"/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S357">
            <v>0</v>
          </cell>
        </row>
        <row r="358"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5000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5000</v>
          </cell>
          <cell r="Q358">
            <v>0</v>
          </cell>
          <cell r="S358">
            <v>10000</v>
          </cell>
        </row>
        <row r="359">
          <cell r="F359"/>
          <cell r="G359">
            <v>0</v>
          </cell>
          <cell r="H359">
            <v>10000</v>
          </cell>
          <cell r="I359">
            <v>10000</v>
          </cell>
          <cell r="J359">
            <v>10000</v>
          </cell>
          <cell r="K359">
            <v>10000</v>
          </cell>
          <cell r="L359">
            <v>10000</v>
          </cell>
          <cell r="M359">
            <v>10000</v>
          </cell>
          <cell r="N359">
            <v>10000</v>
          </cell>
          <cell r="O359">
            <v>10000</v>
          </cell>
          <cell r="P359">
            <v>10000</v>
          </cell>
          <cell r="Q359">
            <v>10000</v>
          </cell>
          <cell r="S359">
            <v>100000</v>
          </cell>
        </row>
        <row r="360">
          <cell r="F360">
            <v>11708.333333333334</v>
          </cell>
          <cell r="G360">
            <v>11708.333333333334</v>
          </cell>
          <cell r="H360">
            <v>11708.333333333334</v>
          </cell>
          <cell r="I360">
            <v>11708.333333333334</v>
          </cell>
          <cell r="J360">
            <v>11708.333333333334</v>
          </cell>
          <cell r="K360">
            <v>11708.333333333334</v>
          </cell>
          <cell r="L360">
            <v>11708.333333333334</v>
          </cell>
          <cell r="M360">
            <v>11708.333333333334</v>
          </cell>
          <cell r="N360">
            <v>11708.333333333334</v>
          </cell>
          <cell r="O360">
            <v>11708.333333333334</v>
          </cell>
          <cell r="P360">
            <v>11708.333333333334</v>
          </cell>
          <cell r="Q360">
            <v>11708.333333333334</v>
          </cell>
          <cell r="S360">
            <v>140499.99999999997</v>
          </cell>
        </row>
        <row r="361">
          <cell r="F361"/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S361">
            <v>0</v>
          </cell>
        </row>
        <row r="362">
          <cell r="F362"/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S362">
            <v>0</v>
          </cell>
        </row>
        <row r="363">
          <cell r="F363"/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S363">
            <v>0</v>
          </cell>
        </row>
        <row r="364">
          <cell r="F364">
            <v>150</v>
          </cell>
          <cell r="G364">
            <v>150</v>
          </cell>
          <cell r="H364">
            <v>150</v>
          </cell>
          <cell r="I364">
            <v>150</v>
          </cell>
          <cell r="J364">
            <v>150</v>
          </cell>
          <cell r="K364">
            <v>150</v>
          </cell>
          <cell r="L364">
            <v>150</v>
          </cell>
          <cell r="M364">
            <v>150</v>
          </cell>
          <cell r="N364">
            <v>150</v>
          </cell>
          <cell r="O364">
            <v>150</v>
          </cell>
          <cell r="P364">
            <v>150</v>
          </cell>
          <cell r="Q364">
            <v>150</v>
          </cell>
          <cell r="S364">
            <v>1800</v>
          </cell>
        </row>
        <row r="365">
          <cell r="F365"/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S365">
            <v>0</v>
          </cell>
        </row>
        <row r="366">
          <cell r="F366"/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S366">
            <v>0</v>
          </cell>
        </row>
        <row r="367"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S367">
            <v>0</v>
          </cell>
        </row>
        <row r="368">
          <cell r="F368"/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S368">
            <v>0</v>
          </cell>
        </row>
        <row r="369">
          <cell r="F369"/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S369">
            <v>0</v>
          </cell>
        </row>
        <row r="370">
          <cell r="F370"/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S370">
            <v>0</v>
          </cell>
        </row>
        <row r="371">
          <cell r="F371"/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S371">
            <v>0</v>
          </cell>
        </row>
        <row r="372">
          <cell r="F372">
            <v>1375</v>
          </cell>
          <cell r="G372">
            <v>1375</v>
          </cell>
          <cell r="H372">
            <v>1375</v>
          </cell>
          <cell r="I372">
            <v>1375</v>
          </cell>
          <cell r="J372">
            <v>1375</v>
          </cell>
          <cell r="K372">
            <v>1375</v>
          </cell>
          <cell r="L372">
            <v>1375</v>
          </cell>
          <cell r="M372">
            <v>1375</v>
          </cell>
          <cell r="N372">
            <v>1375</v>
          </cell>
          <cell r="O372">
            <v>1375</v>
          </cell>
          <cell r="P372">
            <v>1375</v>
          </cell>
          <cell r="Q372">
            <v>1375</v>
          </cell>
          <cell r="S372">
            <v>16500</v>
          </cell>
        </row>
        <row r="373">
          <cell r="F373">
            <v>500</v>
          </cell>
          <cell r="G373">
            <v>500</v>
          </cell>
          <cell r="H373">
            <v>500</v>
          </cell>
          <cell r="I373">
            <v>500</v>
          </cell>
          <cell r="J373">
            <v>500</v>
          </cell>
          <cell r="K373">
            <v>500</v>
          </cell>
          <cell r="L373">
            <v>500</v>
          </cell>
          <cell r="M373">
            <v>500</v>
          </cell>
          <cell r="N373">
            <v>500</v>
          </cell>
          <cell r="O373">
            <v>500</v>
          </cell>
          <cell r="P373">
            <v>500</v>
          </cell>
          <cell r="Q373">
            <v>500</v>
          </cell>
          <cell r="S373">
            <v>6000</v>
          </cell>
        </row>
        <row r="374">
          <cell r="F374">
            <v>250</v>
          </cell>
          <cell r="G374">
            <v>250</v>
          </cell>
          <cell r="H374">
            <v>250</v>
          </cell>
          <cell r="I374">
            <v>250</v>
          </cell>
          <cell r="J374">
            <v>250</v>
          </cell>
          <cell r="K374">
            <v>250</v>
          </cell>
          <cell r="L374">
            <v>250</v>
          </cell>
          <cell r="M374">
            <v>250</v>
          </cell>
          <cell r="N374">
            <v>250</v>
          </cell>
          <cell r="O374">
            <v>250</v>
          </cell>
          <cell r="P374">
            <v>250</v>
          </cell>
          <cell r="Q374">
            <v>250</v>
          </cell>
          <cell r="S374">
            <v>3000</v>
          </cell>
        </row>
        <row r="375">
          <cell r="F375"/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S375">
            <v>0</v>
          </cell>
        </row>
        <row r="376">
          <cell r="F376"/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S376">
            <v>0</v>
          </cell>
        </row>
        <row r="377">
          <cell r="F377">
            <v>1583.3333333333333</v>
          </cell>
          <cell r="G377">
            <v>1583.3333333333333</v>
          </cell>
          <cell r="H377">
            <v>1583.3333333333333</v>
          </cell>
          <cell r="I377">
            <v>1583.3333333333333</v>
          </cell>
          <cell r="J377">
            <v>1583.3333333333333</v>
          </cell>
          <cell r="K377">
            <v>1583.3333333333333</v>
          </cell>
          <cell r="L377">
            <v>1583.3333333333333</v>
          </cell>
          <cell r="M377">
            <v>1583.3333333333333</v>
          </cell>
          <cell r="N377">
            <v>1583.3333333333333</v>
          </cell>
          <cell r="O377">
            <v>1583.3333333333333</v>
          </cell>
          <cell r="P377">
            <v>1583.3333333333333</v>
          </cell>
          <cell r="Q377">
            <v>1583.3333333333333</v>
          </cell>
          <cell r="S377">
            <v>19000</v>
          </cell>
        </row>
        <row r="378">
          <cell r="F378"/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S378">
            <v>0</v>
          </cell>
        </row>
        <row r="379">
          <cell r="F379"/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S379">
            <v>0</v>
          </cell>
        </row>
        <row r="380">
          <cell r="F380"/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S380">
            <v>0</v>
          </cell>
        </row>
        <row r="381">
          <cell r="S381">
            <v>1247400.0000000002</v>
          </cell>
        </row>
        <row r="382">
          <cell r="F382">
            <v>297000.00000000006</v>
          </cell>
          <cell r="G382">
            <v>0</v>
          </cell>
          <cell r="H382">
            <v>0</v>
          </cell>
          <cell r="I382">
            <v>297000.00000000006</v>
          </cell>
          <cell r="J382">
            <v>0</v>
          </cell>
          <cell r="K382">
            <v>0</v>
          </cell>
          <cell r="L382">
            <v>297000.00000000006</v>
          </cell>
          <cell r="M382">
            <v>0</v>
          </cell>
          <cell r="N382">
            <v>0</v>
          </cell>
          <cell r="O382">
            <v>297000.00000000006</v>
          </cell>
          <cell r="P382">
            <v>0</v>
          </cell>
          <cell r="Q382">
            <v>0</v>
          </cell>
          <cell r="S382">
            <v>1188000.0000000002</v>
          </cell>
        </row>
        <row r="383">
          <cell r="F383">
            <v>14850.000000000004</v>
          </cell>
          <cell r="G383">
            <v>0</v>
          </cell>
          <cell r="H383">
            <v>0</v>
          </cell>
          <cell r="I383">
            <v>14850.000000000004</v>
          </cell>
          <cell r="J383">
            <v>0</v>
          </cell>
          <cell r="K383">
            <v>0</v>
          </cell>
          <cell r="L383">
            <v>14850.000000000004</v>
          </cell>
          <cell r="M383">
            <v>0</v>
          </cell>
          <cell r="N383">
            <v>0</v>
          </cell>
          <cell r="O383">
            <v>14850.000000000004</v>
          </cell>
          <cell r="P383">
            <v>0</v>
          </cell>
          <cell r="Q383">
            <v>0</v>
          </cell>
          <cell r="S383">
            <v>59400.000000000015</v>
          </cell>
        </row>
        <row r="384"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S384">
            <v>0</v>
          </cell>
        </row>
        <row r="386"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96">
          <cell r="F396">
            <v>56222.042532308493</v>
          </cell>
          <cell r="G396">
            <v>189189.28767777624</v>
          </cell>
          <cell r="H396">
            <v>270457.65256299399</v>
          </cell>
          <cell r="I396">
            <v>61877.137187961664</v>
          </cell>
          <cell r="J396">
            <v>245416.10955267935</v>
          </cell>
          <cell r="K396">
            <v>291785.50165714708</v>
          </cell>
          <cell r="L396">
            <v>115374.04683469795</v>
          </cell>
          <cell r="M396">
            <v>194088.7117519991</v>
          </cell>
          <cell r="N396">
            <v>210169.49640905031</v>
          </cell>
          <cell r="O396">
            <v>29411.400805851095</v>
          </cell>
          <cell r="P396">
            <v>207283.76894240215</v>
          </cell>
          <cell r="Q396">
            <v>311707.2568187032</v>
          </cell>
        </row>
      </sheetData>
      <sheetData sheetId="7">
        <row r="3">
          <cell r="S3">
            <v>5082918.283039636</v>
          </cell>
        </row>
        <row r="4">
          <cell r="S4">
            <v>5046918.283039636</v>
          </cell>
        </row>
        <row r="5">
          <cell r="F5"/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S5">
            <v>0</v>
          </cell>
        </row>
        <row r="6">
          <cell r="F6">
            <v>14921.4</v>
          </cell>
          <cell r="G6">
            <v>14921.4</v>
          </cell>
          <cell r="H6">
            <v>14921.4</v>
          </cell>
          <cell r="I6">
            <v>14921.4</v>
          </cell>
          <cell r="J6">
            <v>14921.4</v>
          </cell>
          <cell r="K6">
            <v>15037.470000000001</v>
          </cell>
          <cell r="L6">
            <v>15037.470000000001</v>
          </cell>
          <cell r="M6">
            <v>15037.470000000001</v>
          </cell>
          <cell r="N6">
            <v>15037.470000000001</v>
          </cell>
          <cell r="O6">
            <v>15037.470000000001</v>
          </cell>
          <cell r="P6">
            <v>15037.470000000001</v>
          </cell>
          <cell r="Q6">
            <v>15037.470000000001</v>
          </cell>
          <cell r="S6">
            <v>179869.29</v>
          </cell>
        </row>
        <row r="7">
          <cell r="F7"/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S7">
            <v>0</v>
          </cell>
        </row>
        <row r="8">
          <cell r="F8"/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S8">
            <v>0</v>
          </cell>
        </row>
        <row r="9">
          <cell r="F9"/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S9">
            <v>0</v>
          </cell>
        </row>
        <row r="10">
          <cell r="F10"/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S10">
            <v>0</v>
          </cell>
        </row>
        <row r="11">
          <cell r="F11">
            <v>198469.31718727274</v>
          </cell>
          <cell r="G11">
            <v>198469.31718727274</v>
          </cell>
          <cell r="H11">
            <v>198469.31718727274</v>
          </cell>
          <cell r="I11">
            <v>198469.31718727274</v>
          </cell>
          <cell r="J11">
            <v>198469.31718727274</v>
          </cell>
          <cell r="K11">
            <v>198469.31718727274</v>
          </cell>
          <cell r="L11">
            <v>198469.31718727274</v>
          </cell>
          <cell r="M11">
            <v>198469.31718727274</v>
          </cell>
          <cell r="N11">
            <v>198469.31718727274</v>
          </cell>
          <cell r="O11">
            <v>198469.31718727274</v>
          </cell>
          <cell r="P11">
            <v>198469.31718727274</v>
          </cell>
          <cell r="Q11">
            <v>198469.31718727274</v>
          </cell>
          <cell r="S11">
            <v>2381631.806247273</v>
          </cell>
        </row>
        <row r="12">
          <cell r="F12">
            <v>70200.936240272727</v>
          </cell>
          <cell r="G12">
            <v>70200.936240272727</v>
          </cell>
          <cell r="H12">
            <v>70200.936240272727</v>
          </cell>
          <cell r="I12">
            <v>70200.936240272727</v>
          </cell>
          <cell r="J12">
            <v>70200.936240272727</v>
          </cell>
          <cell r="K12">
            <v>70200.936240272727</v>
          </cell>
          <cell r="L12">
            <v>70200.936240272727</v>
          </cell>
          <cell r="M12">
            <v>70200.936240272727</v>
          </cell>
          <cell r="N12">
            <v>70200.936240272727</v>
          </cell>
          <cell r="O12">
            <v>70200.936240272727</v>
          </cell>
          <cell r="P12">
            <v>70200.936240272727</v>
          </cell>
          <cell r="Q12">
            <v>70200.936240272727</v>
          </cell>
          <cell r="S12">
            <v>842411.23488327267</v>
          </cell>
        </row>
        <row r="13">
          <cell r="F13">
            <v>73021.674659090902</v>
          </cell>
          <cell r="G13">
            <v>73021.674659090902</v>
          </cell>
          <cell r="H13">
            <v>73021.674659090902</v>
          </cell>
          <cell r="I13">
            <v>73021.674659090902</v>
          </cell>
          <cell r="J13">
            <v>73021.674659090902</v>
          </cell>
          <cell r="K13">
            <v>73021.674659090902</v>
          </cell>
          <cell r="L13">
            <v>73021.674659090902</v>
          </cell>
          <cell r="M13">
            <v>73021.674659090902</v>
          </cell>
          <cell r="N13">
            <v>73021.674659090902</v>
          </cell>
          <cell r="O13">
            <v>73021.674659090902</v>
          </cell>
          <cell r="P13">
            <v>73021.674659090902</v>
          </cell>
          <cell r="Q13">
            <v>73021.674659090902</v>
          </cell>
          <cell r="S13">
            <v>876260.09590909106</v>
          </cell>
        </row>
        <row r="14">
          <cell r="F14">
            <v>0</v>
          </cell>
          <cell r="G14">
            <v>3637.2000000000003</v>
          </cell>
          <cell r="H14">
            <v>3637.2000000000003</v>
          </cell>
          <cell r="I14">
            <v>72744</v>
          </cell>
          <cell r="J14">
            <v>72744</v>
          </cell>
          <cell r="K14">
            <v>18186</v>
          </cell>
          <cell r="L14">
            <v>18186</v>
          </cell>
          <cell r="M14">
            <v>18186</v>
          </cell>
          <cell r="N14">
            <v>18186</v>
          </cell>
          <cell r="O14">
            <v>18186</v>
          </cell>
          <cell r="P14">
            <v>83655.600000000006</v>
          </cell>
          <cell r="Q14">
            <v>36372</v>
          </cell>
          <cell r="S14">
            <v>363720</v>
          </cell>
        </row>
        <row r="15">
          <cell r="F15"/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S15">
            <v>0</v>
          </cell>
        </row>
        <row r="16">
          <cell r="F16"/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</row>
        <row r="17">
          <cell r="F17"/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S17">
            <v>0</v>
          </cell>
        </row>
        <row r="18">
          <cell r="F18">
            <v>9078.9120000000003</v>
          </cell>
          <cell r="G18">
            <v>9078.9120000000003</v>
          </cell>
          <cell r="H18">
            <v>9078.9120000000003</v>
          </cell>
          <cell r="I18">
            <v>9078.9120000000003</v>
          </cell>
          <cell r="J18">
            <v>9078.9120000000003</v>
          </cell>
          <cell r="K18">
            <v>9078.9120000000003</v>
          </cell>
          <cell r="L18">
            <v>9078.9120000000003</v>
          </cell>
          <cell r="M18">
            <v>9078.9120000000003</v>
          </cell>
          <cell r="N18">
            <v>9078.9120000000003</v>
          </cell>
          <cell r="O18">
            <v>9078.9120000000003</v>
          </cell>
          <cell r="P18">
            <v>13618.368</v>
          </cell>
          <cell r="Q18">
            <v>13618.368</v>
          </cell>
          <cell r="S18">
            <v>118025.85599999999</v>
          </cell>
        </row>
        <row r="19">
          <cell r="F19"/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</row>
        <row r="20">
          <cell r="F20"/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</row>
        <row r="21">
          <cell r="F21"/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S21">
            <v>0</v>
          </cell>
        </row>
        <row r="22">
          <cell r="F22">
            <v>3000</v>
          </cell>
          <cell r="G22">
            <v>3000</v>
          </cell>
          <cell r="H22">
            <v>3000</v>
          </cell>
          <cell r="I22">
            <v>3000</v>
          </cell>
          <cell r="J22">
            <v>3000</v>
          </cell>
          <cell r="K22">
            <v>3000</v>
          </cell>
          <cell r="L22">
            <v>3000</v>
          </cell>
          <cell r="M22">
            <v>3000</v>
          </cell>
          <cell r="N22">
            <v>3000</v>
          </cell>
          <cell r="O22">
            <v>3000</v>
          </cell>
          <cell r="P22">
            <v>3000</v>
          </cell>
          <cell r="Q22">
            <v>3000</v>
          </cell>
          <cell r="S22">
            <v>36000</v>
          </cell>
        </row>
        <row r="23">
          <cell r="F23">
            <v>12000</v>
          </cell>
          <cell r="G23">
            <v>12000</v>
          </cell>
          <cell r="H23">
            <v>12000</v>
          </cell>
          <cell r="I23">
            <v>12000</v>
          </cell>
          <cell r="J23">
            <v>12000</v>
          </cell>
          <cell r="K23">
            <v>12000</v>
          </cell>
          <cell r="L23">
            <v>12000</v>
          </cell>
          <cell r="M23">
            <v>12000</v>
          </cell>
          <cell r="N23">
            <v>12000</v>
          </cell>
          <cell r="O23">
            <v>12000</v>
          </cell>
          <cell r="P23">
            <v>12000</v>
          </cell>
          <cell r="Q23">
            <v>12000</v>
          </cell>
          <cell r="S23">
            <v>144000</v>
          </cell>
        </row>
        <row r="24">
          <cell r="F24"/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</row>
        <row r="25">
          <cell r="F25">
            <v>8750</v>
          </cell>
          <cell r="G25">
            <v>8750</v>
          </cell>
          <cell r="H25">
            <v>8750</v>
          </cell>
          <cell r="I25">
            <v>8750</v>
          </cell>
          <cell r="J25">
            <v>8750</v>
          </cell>
          <cell r="K25">
            <v>8750</v>
          </cell>
          <cell r="L25">
            <v>8750</v>
          </cell>
          <cell r="M25">
            <v>8750</v>
          </cell>
          <cell r="N25">
            <v>8750</v>
          </cell>
          <cell r="O25">
            <v>8750</v>
          </cell>
          <cell r="P25">
            <v>8750</v>
          </cell>
          <cell r="Q25">
            <v>8750</v>
          </cell>
          <cell r="S25">
            <v>105000</v>
          </cell>
        </row>
        <row r="26">
          <cell r="S26">
            <v>36000</v>
          </cell>
        </row>
        <row r="27">
          <cell r="F27"/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F28"/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S28">
            <v>0</v>
          </cell>
        </row>
        <row r="29">
          <cell r="F29"/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</row>
        <row r="30">
          <cell r="F30"/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</row>
        <row r="31">
          <cell r="F31"/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</row>
        <row r="32">
          <cell r="F32">
            <v>3000</v>
          </cell>
          <cell r="G32">
            <v>3000</v>
          </cell>
          <cell r="H32">
            <v>3000</v>
          </cell>
          <cell r="I32">
            <v>3000</v>
          </cell>
          <cell r="J32">
            <v>3000</v>
          </cell>
          <cell r="K32">
            <v>3000</v>
          </cell>
          <cell r="L32">
            <v>3000</v>
          </cell>
          <cell r="M32">
            <v>3000</v>
          </cell>
          <cell r="N32">
            <v>3000</v>
          </cell>
          <cell r="O32">
            <v>3000</v>
          </cell>
          <cell r="P32">
            <v>3000</v>
          </cell>
          <cell r="Q32">
            <v>3000</v>
          </cell>
          <cell r="S32">
            <v>36000</v>
          </cell>
        </row>
        <row r="33">
          <cell r="F33"/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>
            <v>0</v>
          </cell>
        </row>
        <row r="34">
          <cell r="F34"/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S35">
            <v>0</v>
          </cell>
        </row>
        <row r="36">
          <cell r="F36"/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S36">
            <v>0</v>
          </cell>
        </row>
        <row r="37">
          <cell r="F37"/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S37">
            <v>0</v>
          </cell>
        </row>
        <row r="38">
          <cell r="F38"/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S38">
            <v>0</v>
          </cell>
        </row>
        <row r="39">
          <cell r="F39"/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S39">
            <v>0</v>
          </cell>
        </row>
        <row r="40">
          <cell r="F40"/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S40">
            <v>0</v>
          </cell>
        </row>
        <row r="41">
          <cell r="F41"/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S41">
            <v>0</v>
          </cell>
        </row>
        <row r="42">
          <cell r="S42"/>
        </row>
        <row r="43">
          <cell r="S43">
            <v>4690199.9683483988</v>
          </cell>
        </row>
        <row r="44">
          <cell r="S44">
            <v>667799.91096666676</v>
          </cell>
        </row>
        <row r="45">
          <cell r="F45">
            <v>43529.132300000005</v>
          </cell>
          <cell r="G45">
            <v>43529.132300000005</v>
          </cell>
          <cell r="H45">
            <v>43529.132300000005</v>
          </cell>
          <cell r="I45">
            <v>43529.132300000005</v>
          </cell>
          <cell r="J45">
            <v>43529.132300000005</v>
          </cell>
          <cell r="K45">
            <v>43529.132300000005</v>
          </cell>
          <cell r="L45">
            <v>43529.132300000005</v>
          </cell>
          <cell r="M45">
            <v>43529.132300000005</v>
          </cell>
          <cell r="N45">
            <v>43529.132300000005</v>
          </cell>
          <cell r="O45">
            <v>43529.132300000005</v>
          </cell>
          <cell r="P45">
            <v>43529.132300000005</v>
          </cell>
          <cell r="Q45">
            <v>43529.132300000005</v>
          </cell>
          <cell r="S45">
            <v>522349.58760000003</v>
          </cell>
        </row>
        <row r="46">
          <cell r="F46">
            <v>3627.4276916666672</v>
          </cell>
          <cell r="G46">
            <v>3627.4276916666672</v>
          </cell>
          <cell r="H46">
            <v>3627.4276916666672</v>
          </cell>
          <cell r="I46">
            <v>3627.4276916666672</v>
          </cell>
          <cell r="J46">
            <v>3627.4276916666672</v>
          </cell>
          <cell r="K46">
            <v>3627.4276916666672</v>
          </cell>
          <cell r="L46">
            <v>3627.4276916666672</v>
          </cell>
          <cell r="M46">
            <v>3627.4276916666672</v>
          </cell>
          <cell r="N46">
            <v>3627.4276916666672</v>
          </cell>
          <cell r="O46">
            <v>3627.4276916666672</v>
          </cell>
          <cell r="P46">
            <v>3627.4276916666672</v>
          </cell>
          <cell r="Q46">
            <v>3627.4276916666672</v>
          </cell>
          <cell r="S46">
            <v>43529.132299999997</v>
          </cell>
        </row>
        <row r="47">
          <cell r="F47">
            <v>4836.5702555555563</v>
          </cell>
          <cell r="G47">
            <v>4836.5702555555563</v>
          </cell>
          <cell r="H47">
            <v>4836.5702555555563</v>
          </cell>
          <cell r="I47">
            <v>4836.5702555555563</v>
          </cell>
          <cell r="J47">
            <v>4836.5702555555563</v>
          </cell>
          <cell r="K47">
            <v>4836.5702555555563</v>
          </cell>
          <cell r="L47">
            <v>4836.5702555555563</v>
          </cell>
          <cell r="M47">
            <v>4836.5702555555563</v>
          </cell>
          <cell r="N47">
            <v>4836.5702555555563</v>
          </cell>
          <cell r="O47">
            <v>4836.5702555555563</v>
          </cell>
          <cell r="P47">
            <v>4836.5702555555563</v>
          </cell>
          <cell r="Q47">
            <v>4836.5702555555563</v>
          </cell>
          <cell r="S47">
            <v>58038.843066666661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5000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5000</v>
          </cell>
          <cell r="S48">
            <v>10000</v>
          </cell>
        </row>
        <row r="49">
          <cell r="F49"/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S49">
            <v>0</v>
          </cell>
        </row>
        <row r="50">
          <cell r="F50">
            <v>2500</v>
          </cell>
          <cell r="G50">
            <v>2500</v>
          </cell>
          <cell r="H50">
            <v>2500</v>
          </cell>
          <cell r="I50">
            <v>2500</v>
          </cell>
          <cell r="J50">
            <v>2500</v>
          </cell>
          <cell r="K50">
            <v>2500</v>
          </cell>
          <cell r="L50">
            <v>2500</v>
          </cell>
          <cell r="M50">
            <v>2500</v>
          </cell>
          <cell r="N50">
            <v>2500</v>
          </cell>
          <cell r="O50">
            <v>2500</v>
          </cell>
          <cell r="P50">
            <v>2500</v>
          </cell>
          <cell r="Q50">
            <v>2500</v>
          </cell>
          <cell r="S50">
            <v>30000</v>
          </cell>
        </row>
        <row r="51">
          <cell r="F51"/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</row>
        <row r="52">
          <cell r="F52"/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S52">
            <v>0</v>
          </cell>
        </row>
        <row r="53">
          <cell r="F53"/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S53">
            <v>0</v>
          </cell>
        </row>
        <row r="54">
          <cell r="F54">
            <v>323.529</v>
          </cell>
          <cell r="G54">
            <v>323.529</v>
          </cell>
          <cell r="H54">
            <v>323.529</v>
          </cell>
          <cell r="I54">
            <v>323.529</v>
          </cell>
          <cell r="J54">
            <v>323.529</v>
          </cell>
          <cell r="K54">
            <v>323.529</v>
          </cell>
          <cell r="L54">
            <v>323.529</v>
          </cell>
          <cell r="M54">
            <v>323.529</v>
          </cell>
          <cell r="N54">
            <v>323.529</v>
          </cell>
          <cell r="O54">
            <v>323.529</v>
          </cell>
          <cell r="P54">
            <v>323.529</v>
          </cell>
          <cell r="Q54">
            <v>323.529</v>
          </cell>
          <cell r="S54">
            <v>3882.348</v>
          </cell>
        </row>
        <row r="55">
          <cell r="F55"/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S55">
            <v>0</v>
          </cell>
        </row>
        <row r="56">
          <cell r="F56"/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</row>
        <row r="57">
          <cell r="S57">
            <v>0</v>
          </cell>
        </row>
        <row r="58">
          <cell r="F58"/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>
            <v>0</v>
          </cell>
        </row>
        <row r="59">
          <cell r="F59"/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0</v>
          </cell>
        </row>
        <row r="60">
          <cell r="F60"/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S60">
            <v>0</v>
          </cell>
        </row>
        <row r="61">
          <cell r="F61"/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S61">
            <v>0</v>
          </cell>
        </row>
        <row r="62">
          <cell r="S62">
            <v>573936.35061198415</v>
          </cell>
        </row>
        <row r="63">
          <cell r="F63">
            <v>4060.5</v>
          </cell>
          <cell r="G63">
            <v>4060.5</v>
          </cell>
          <cell r="H63">
            <v>4060.5</v>
          </cell>
          <cell r="I63">
            <v>4060.5</v>
          </cell>
          <cell r="J63">
            <v>4060.5</v>
          </cell>
          <cell r="K63">
            <v>4060.5</v>
          </cell>
          <cell r="L63">
            <v>4060.5</v>
          </cell>
          <cell r="M63">
            <v>4060.5</v>
          </cell>
          <cell r="N63">
            <v>4060.5</v>
          </cell>
          <cell r="O63">
            <v>4060.5</v>
          </cell>
          <cell r="P63">
            <v>4060.5</v>
          </cell>
          <cell r="Q63">
            <v>4060.5</v>
          </cell>
          <cell r="S63">
            <v>48726</v>
          </cell>
        </row>
        <row r="64">
          <cell r="F64">
            <v>20685.548250000007</v>
          </cell>
          <cell r="G64">
            <v>20685.548250000007</v>
          </cell>
          <cell r="H64">
            <v>20685.548250000007</v>
          </cell>
          <cell r="I64">
            <v>20685.548250000007</v>
          </cell>
          <cell r="J64">
            <v>20685.548250000007</v>
          </cell>
          <cell r="K64">
            <v>20685.548250000007</v>
          </cell>
          <cell r="L64">
            <v>20685.548250000007</v>
          </cell>
          <cell r="M64">
            <v>20685.548250000007</v>
          </cell>
          <cell r="N64">
            <v>20685.548250000007</v>
          </cell>
          <cell r="O64">
            <v>20685.548250000007</v>
          </cell>
          <cell r="P64">
            <v>20685.548250000007</v>
          </cell>
          <cell r="Q64">
            <v>20685.548250000007</v>
          </cell>
          <cell r="S64">
            <v>248226.57900000003</v>
          </cell>
        </row>
        <row r="65">
          <cell r="F65"/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S65">
            <v>0</v>
          </cell>
        </row>
        <row r="66">
          <cell r="F66"/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S66">
            <v>0</v>
          </cell>
        </row>
        <row r="67">
          <cell r="F67">
            <v>15863.06</v>
          </cell>
          <cell r="G67">
            <v>15863.06</v>
          </cell>
          <cell r="H67">
            <v>15863.06</v>
          </cell>
          <cell r="I67">
            <v>15863.06</v>
          </cell>
          <cell r="J67">
            <v>18310.745999999999</v>
          </cell>
          <cell r="K67">
            <v>18310.745999999999</v>
          </cell>
          <cell r="L67">
            <v>18310.745999999999</v>
          </cell>
          <cell r="M67">
            <v>18310.745999999999</v>
          </cell>
          <cell r="N67">
            <v>18310.745999999999</v>
          </cell>
          <cell r="O67">
            <v>18310.745999999999</v>
          </cell>
          <cell r="P67">
            <v>18310.745999999999</v>
          </cell>
          <cell r="Q67">
            <v>18310.745999999999</v>
          </cell>
          <cell r="S67">
            <v>209938.20799999993</v>
          </cell>
        </row>
        <row r="68">
          <cell r="F68"/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S68">
            <v>0</v>
          </cell>
        </row>
        <row r="69">
          <cell r="F69"/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S69">
            <v>0</v>
          </cell>
        </row>
        <row r="70">
          <cell r="F70"/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S70">
            <v>0</v>
          </cell>
        </row>
        <row r="71">
          <cell r="F71">
            <v>5587.1303009986714</v>
          </cell>
          <cell r="G71">
            <v>5587.1303009986714</v>
          </cell>
          <cell r="H71">
            <v>5587.1303009986714</v>
          </cell>
          <cell r="I71">
            <v>5587.1303009986714</v>
          </cell>
          <cell r="J71">
            <v>5587.1303009986714</v>
          </cell>
          <cell r="K71">
            <v>5587.1303009986714</v>
          </cell>
          <cell r="L71">
            <v>5587.1303009986714</v>
          </cell>
          <cell r="M71">
            <v>5587.1303009986714</v>
          </cell>
          <cell r="N71">
            <v>5587.1303009986714</v>
          </cell>
          <cell r="O71">
            <v>5587.1303009986714</v>
          </cell>
          <cell r="P71">
            <v>5587.1303009986714</v>
          </cell>
          <cell r="Q71">
            <v>5587.1303009986714</v>
          </cell>
          <cell r="S71">
            <v>67045.563611984064</v>
          </cell>
        </row>
        <row r="72">
          <cell r="F72"/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S72">
            <v>0</v>
          </cell>
        </row>
        <row r="73">
          <cell r="F73"/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S73">
            <v>0</v>
          </cell>
        </row>
        <row r="74">
          <cell r="F74"/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S74">
            <v>0</v>
          </cell>
        </row>
        <row r="75">
          <cell r="F75"/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S75">
            <v>0</v>
          </cell>
        </row>
        <row r="76">
          <cell r="F76"/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S76">
            <v>0</v>
          </cell>
        </row>
        <row r="77">
          <cell r="F77"/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S77">
            <v>0</v>
          </cell>
        </row>
        <row r="78">
          <cell r="F78"/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S78">
            <v>0</v>
          </cell>
        </row>
        <row r="79">
          <cell r="F79"/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S79">
            <v>0</v>
          </cell>
        </row>
        <row r="80">
          <cell r="F80"/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S80">
            <v>0</v>
          </cell>
        </row>
        <row r="81">
          <cell r="F81"/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S81">
            <v>0</v>
          </cell>
        </row>
        <row r="82">
          <cell r="F82"/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S82">
            <v>0</v>
          </cell>
        </row>
        <row r="83">
          <cell r="F83"/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S83">
            <v>0</v>
          </cell>
        </row>
        <row r="84">
          <cell r="F84"/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S84">
            <v>0</v>
          </cell>
        </row>
        <row r="85">
          <cell r="F85"/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S85">
            <v>0</v>
          </cell>
        </row>
        <row r="86">
          <cell r="F86"/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S86">
            <v>0</v>
          </cell>
        </row>
        <row r="87">
          <cell r="F87"/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S87">
            <v>0</v>
          </cell>
        </row>
        <row r="88">
          <cell r="F88"/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S88">
            <v>0</v>
          </cell>
        </row>
        <row r="89">
          <cell r="F89"/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S89">
            <v>0</v>
          </cell>
        </row>
        <row r="90">
          <cell r="F90"/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S90">
            <v>0</v>
          </cell>
        </row>
        <row r="91">
          <cell r="F91"/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S91">
            <v>0</v>
          </cell>
        </row>
        <row r="92">
          <cell r="F92"/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S92">
            <v>0</v>
          </cell>
        </row>
        <row r="93">
          <cell r="S93">
            <v>239272.38539771669</v>
          </cell>
        </row>
        <row r="94">
          <cell r="F94">
            <v>15259.983727559722</v>
          </cell>
          <cell r="G94">
            <v>15259.983727559722</v>
          </cell>
          <cell r="H94">
            <v>15259.983727559722</v>
          </cell>
          <cell r="I94">
            <v>15259.983727559722</v>
          </cell>
          <cell r="J94">
            <v>15259.983727559722</v>
          </cell>
          <cell r="K94">
            <v>15259.983727559722</v>
          </cell>
          <cell r="L94">
            <v>15259.983727559722</v>
          </cell>
          <cell r="M94">
            <v>15259.983727559722</v>
          </cell>
          <cell r="N94">
            <v>15259.983727559722</v>
          </cell>
          <cell r="O94">
            <v>15259.983727559722</v>
          </cell>
          <cell r="P94">
            <v>15259.983727559722</v>
          </cell>
          <cell r="Q94">
            <v>15259.983727559722</v>
          </cell>
          <cell r="S94">
            <v>183119.80473071663</v>
          </cell>
        </row>
        <row r="95">
          <cell r="F95">
            <v>4159.4504197777778</v>
          </cell>
          <cell r="G95">
            <v>4159.4504197777778</v>
          </cell>
          <cell r="H95">
            <v>4159.4504197777778</v>
          </cell>
          <cell r="I95">
            <v>4159.4504197777778</v>
          </cell>
          <cell r="J95">
            <v>4159.4504197777778</v>
          </cell>
          <cell r="K95">
            <v>4159.4504197777778</v>
          </cell>
          <cell r="L95">
            <v>4159.4504197777778</v>
          </cell>
          <cell r="M95">
            <v>4159.4504197777778</v>
          </cell>
          <cell r="N95">
            <v>4159.4504197777778</v>
          </cell>
          <cell r="O95">
            <v>4159.4504197777778</v>
          </cell>
          <cell r="P95">
            <v>4159.4504197777778</v>
          </cell>
          <cell r="Q95">
            <v>4159.4504197777778</v>
          </cell>
          <cell r="S95">
            <v>49913.405037333338</v>
          </cell>
        </row>
        <row r="96">
          <cell r="F96"/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S96">
            <v>0</v>
          </cell>
        </row>
        <row r="97">
          <cell r="F97">
            <v>519.93130247222223</v>
          </cell>
          <cell r="G97">
            <v>519.93130247222223</v>
          </cell>
          <cell r="H97">
            <v>519.93130247222223</v>
          </cell>
          <cell r="I97">
            <v>519.93130247222223</v>
          </cell>
          <cell r="J97">
            <v>519.93130247222223</v>
          </cell>
          <cell r="K97">
            <v>519.93130247222223</v>
          </cell>
          <cell r="L97">
            <v>519.93130247222223</v>
          </cell>
          <cell r="M97">
            <v>519.93130247222223</v>
          </cell>
          <cell r="N97">
            <v>519.93130247222223</v>
          </cell>
          <cell r="O97">
            <v>519.93130247222223</v>
          </cell>
          <cell r="P97">
            <v>519.93130247222223</v>
          </cell>
          <cell r="Q97">
            <v>519.93130247222223</v>
          </cell>
          <cell r="S97">
            <v>6239.1756296666672</v>
          </cell>
        </row>
        <row r="98">
          <cell r="F98"/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S98">
            <v>0</v>
          </cell>
        </row>
        <row r="99">
          <cell r="F99"/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S99">
            <v>0</v>
          </cell>
        </row>
        <row r="100">
          <cell r="F100"/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S100">
            <v>0</v>
          </cell>
        </row>
        <row r="101">
          <cell r="F101"/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S101">
            <v>0</v>
          </cell>
        </row>
        <row r="102">
          <cell r="F102"/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</row>
        <row r="103">
          <cell r="F103"/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S103">
            <v>0</v>
          </cell>
        </row>
        <row r="104">
          <cell r="F104"/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S104">
            <v>0</v>
          </cell>
        </row>
        <row r="105">
          <cell r="F105"/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S105">
            <v>0</v>
          </cell>
        </row>
        <row r="106">
          <cell r="F106"/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S106">
            <v>0</v>
          </cell>
        </row>
        <row r="107">
          <cell r="F107"/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S107">
            <v>0</v>
          </cell>
        </row>
        <row r="108">
          <cell r="F108"/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S108">
            <v>0</v>
          </cell>
        </row>
        <row r="109">
          <cell r="F109"/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S109">
            <v>0</v>
          </cell>
        </row>
        <row r="110">
          <cell r="F110"/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S110">
            <v>0</v>
          </cell>
        </row>
        <row r="111">
          <cell r="F111"/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S111">
            <v>0</v>
          </cell>
        </row>
        <row r="112">
          <cell r="F112"/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S112">
            <v>0</v>
          </cell>
        </row>
        <row r="113">
          <cell r="F113"/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S113">
            <v>0</v>
          </cell>
        </row>
        <row r="114">
          <cell r="S114">
            <v>20000</v>
          </cell>
        </row>
        <row r="115">
          <cell r="F115"/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S115">
            <v>0</v>
          </cell>
        </row>
        <row r="116">
          <cell r="F116"/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S116">
            <v>0</v>
          </cell>
        </row>
        <row r="117">
          <cell r="F117"/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S117">
            <v>0</v>
          </cell>
        </row>
        <row r="118">
          <cell r="F118"/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S118">
            <v>0</v>
          </cell>
        </row>
        <row r="119">
          <cell r="F119"/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S119">
            <v>0</v>
          </cell>
        </row>
        <row r="120">
          <cell r="F120"/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20000</v>
          </cell>
          <cell r="P120">
            <v>0</v>
          </cell>
          <cell r="Q120">
            <v>0</v>
          </cell>
          <cell r="S120">
            <v>20000</v>
          </cell>
        </row>
        <row r="121">
          <cell r="F121"/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S121">
            <v>0</v>
          </cell>
        </row>
        <row r="122">
          <cell r="F122"/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S122">
            <v>0</v>
          </cell>
        </row>
        <row r="123">
          <cell r="F123"/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</row>
        <row r="124">
          <cell r="F124"/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S124">
            <v>0</v>
          </cell>
        </row>
        <row r="125">
          <cell r="F125"/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S125">
            <v>0</v>
          </cell>
        </row>
        <row r="126">
          <cell r="F126"/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S126">
            <v>0</v>
          </cell>
        </row>
        <row r="127">
          <cell r="F127"/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S127">
            <v>0</v>
          </cell>
        </row>
        <row r="128">
          <cell r="F128"/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S128">
            <v>0</v>
          </cell>
        </row>
        <row r="129">
          <cell r="F129"/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S129">
            <v>0</v>
          </cell>
        </row>
        <row r="130">
          <cell r="F130"/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S130">
            <v>0</v>
          </cell>
        </row>
        <row r="131">
          <cell r="F131"/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S131">
            <v>0</v>
          </cell>
        </row>
        <row r="132">
          <cell r="F132"/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S132">
            <v>0</v>
          </cell>
        </row>
        <row r="133">
          <cell r="F133"/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S133">
            <v>0</v>
          </cell>
        </row>
        <row r="134">
          <cell r="F134"/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S134">
            <v>0</v>
          </cell>
        </row>
        <row r="135">
          <cell r="F135"/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S135">
            <v>0</v>
          </cell>
        </row>
        <row r="136">
          <cell r="F136"/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S136">
            <v>0</v>
          </cell>
        </row>
        <row r="137">
          <cell r="F137"/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S137">
            <v>0</v>
          </cell>
        </row>
        <row r="138">
          <cell r="F138"/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S138">
            <v>0</v>
          </cell>
        </row>
        <row r="139">
          <cell r="F139"/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S139">
            <v>0</v>
          </cell>
        </row>
        <row r="140">
          <cell r="F140"/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S140">
            <v>0</v>
          </cell>
        </row>
        <row r="141">
          <cell r="F141"/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S141">
            <v>0</v>
          </cell>
        </row>
        <row r="142">
          <cell r="F142"/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S142">
            <v>0</v>
          </cell>
        </row>
        <row r="143">
          <cell r="F143"/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S143">
            <v>0</v>
          </cell>
        </row>
        <row r="144">
          <cell r="F144"/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S144">
            <v>0</v>
          </cell>
        </row>
        <row r="145">
          <cell r="F145"/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S145">
            <v>0</v>
          </cell>
        </row>
        <row r="146">
          <cell r="S146">
            <v>0</v>
          </cell>
        </row>
        <row r="147">
          <cell r="F147"/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S147">
            <v>0</v>
          </cell>
        </row>
        <row r="148">
          <cell r="F148"/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S148">
            <v>0</v>
          </cell>
        </row>
        <row r="149">
          <cell r="S149">
            <v>0</v>
          </cell>
        </row>
        <row r="150">
          <cell r="F150"/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S150">
            <v>0</v>
          </cell>
        </row>
        <row r="151">
          <cell r="F151"/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S151">
            <v>0</v>
          </cell>
        </row>
        <row r="152">
          <cell r="F152"/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S152">
            <v>0</v>
          </cell>
        </row>
        <row r="153">
          <cell r="F153"/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S153">
            <v>0</v>
          </cell>
        </row>
        <row r="154">
          <cell r="F154"/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S154">
            <v>0</v>
          </cell>
        </row>
        <row r="155">
          <cell r="F155"/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</row>
        <row r="156">
          <cell r="F156"/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S156">
            <v>0</v>
          </cell>
        </row>
        <row r="157">
          <cell r="F157"/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S157">
            <v>0</v>
          </cell>
        </row>
        <row r="158">
          <cell r="F158"/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S158">
            <v>0</v>
          </cell>
        </row>
        <row r="159">
          <cell r="F159"/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S159">
            <v>0</v>
          </cell>
        </row>
        <row r="160">
          <cell r="F160"/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</row>
        <row r="161">
          <cell r="F161"/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S161">
            <v>0</v>
          </cell>
        </row>
        <row r="162">
          <cell r="F162"/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S162">
            <v>0</v>
          </cell>
        </row>
        <row r="163">
          <cell r="F163"/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S163">
            <v>0</v>
          </cell>
        </row>
        <row r="164">
          <cell r="F164"/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</row>
        <row r="165">
          <cell r="F165"/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</row>
        <row r="166">
          <cell r="F166"/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</row>
        <row r="167">
          <cell r="F167"/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S167">
            <v>0</v>
          </cell>
        </row>
        <row r="168">
          <cell r="F168"/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S168">
            <v>0</v>
          </cell>
        </row>
        <row r="169">
          <cell r="F169"/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0</v>
          </cell>
        </row>
        <row r="170">
          <cell r="F170"/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0</v>
          </cell>
        </row>
        <row r="171">
          <cell r="F171"/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S171">
            <v>0</v>
          </cell>
        </row>
        <row r="172">
          <cell r="F172"/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S172">
            <v>0</v>
          </cell>
        </row>
        <row r="173">
          <cell r="F173"/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S173">
            <v>0</v>
          </cell>
        </row>
        <row r="174">
          <cell r="F174"/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S174">
            <v>0</v>
          </cell>
        </row>
        <row r="175">
          <cell r="S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S176">
            <v>0</v>
          </cell>
        </row>
        <row r="177">
          <cell r="F177"/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0</v>
          </cell>
        </row>
        <row r="178">
          <cell r="F178"/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S178">
            <v>0</v>
          </cell>
        </row>
        <row r="179">
          <cell r="F179"/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S179">
            <v>0</v>
          </cell>
        </row>
        <row r="180">
          <cell r="F180"/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S180">
            <v>0</v>
          </cell>
        </row>
        <row r="181">
          <cell r="F181"/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S181">
            <v>0</v>
          </cell>
        </row>
        <row r="182">
          <cell r="F182"/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S182">
            <v>0</v>
          </cell>
        </row>
        <row r="183">
          <cell r="F183"/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S183">
            <v>0</v>
          </cell>
        </row>
        <row r="184">
          <cell r="F184"/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S184">
            <v>0</v>
          </cell>
        </row>
        <row r="185">
          <cell r="F185"/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S185">
            <v>0</v>
          </cell>
        </row>
        <row r="186">
          <cell r="F186"/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S186">
            <v>0</v>
          </cell>
        </row>
        <row r="187">
          <cell r="F187"/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S187">
            <v>0</v>
          </cell>
        </row>
        <row r="188">
          <cell r="F188"/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S188">
            <v>0</v>
          </cell>
        </row>
        <row r="189">
          <cell r="F189"/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S189">
            <v>0</v>
          </cell>
        </row>
        <row r="190">
          <cell r="F190"/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S190">
            <v>0</v>
          </cell>
        </row>
        <row r="191">
          <cell r="F191"/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S191">
            <v>0</v>
          </cell>
        </row>
        <row r="192">
          <cell r="F192"/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S192">
            <v>0</v>
          </cell>
        </row>
        <row r="193">
          <cell r="F193"/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0</v>
          </cell>
        </row>
        <row r="194">
          <cell r="F194"/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S194">
            <v>0</v>
          </cell>
        </row>
        <row r="195">
          <cell r="F195"/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S195">
            <v>0</v>
          </cell>
        </row>
        <row r="196">
          <cell r="F196"/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S196">
            <v>0</v>
          </cell>
        </row>
        <row r="197">
          <cell r="F197"/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0</v>
          </cell>
        </row>
        <row r="198">
          <cell r="F198"/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S198">
            <v>0</v>
          </cell>
        </row>
        <row r="199">
          <cell r="F199"/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S199">
            <v>0</v>
          </cell>
        </row>
        <row r="200">
          <cell r="S200">
            <v>139999.99999999997</v>
          </cell>
        </row>
        <row r="201">
          <cell r="F201"/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S201">
            <v>0</v>
          </cell>
        </row>
        <row r="202">
          <cell r="F202"/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S202">
            <v>0</v>
          </cell>
        </row>
        <row r="203">
          <cell r="F203">
            <v>0</v>
          </cell>
          <cell r="G203">
            <v>10909.09090909091</v>
          </cell>
          <cell r="H203">
            <v>10909.09090909091</v>
          </cell>
          <cell r="I203">
            <v>10909.09090909091</v>
          </cell>
          <cell r="J203">
            <v>10909.09090909091</v>
          </cell>
          <cell r="K203">
            <v>10909.09090909091</v>
          </cell>
          <cell r="L203">
            <v>10909.09090909091</v>
          </cell>
          <cell r="M203">
            <v>10909.09090909091</v>
          </cell>
          <cell r="N203">
            <v>10909.09090909091</v>
          </cell>
          <cell r="O203">
            <v>10909.09090909091</v>
          </cell>
          <cell r="P203">
            <v>10909.09090909091</v>
          </cell>
          <cell r="Q203">
            <v>10909.09090909091</v>
          </cell>
          <cell r="S203">
            <v>120000.00000000001</v>
          </cell>
        </row>
        <row r="204">
          <cell r="F204">
            <v>1666.6666666666667</v>
          </cell>
          <cell r="G204">
            <v>1666.6666666666667</v>
          </cell>
          <cell r="H204">
            <v>1666.6666666666667</v>
          </cell>
          <cell r="I204">
            <v>1666.6666666666667</v>
          </cell>
          <cell r="J204">
            <v>1666.6666666666667</v>
          </cell>
          <cell r="K204">
            <v>1666.6666666666667</v>
          </cell>
          <cell r="L204">
            <v>1666.6666666666667</v>
          </cell>
          <cell r="M204">
            <v>1666.6666666666667</v>
          </cell>
          <cell r="N204">
            <v>1666.6666666666667</v>
          </cell>
          <cell r="O204">
            <v>1666.6666666666667</v>
          </cell>
          <cell r="P204">
            <v>1666.6666666666667</v>
          </cell>
          <cell r="Q204">
            <v>1666.6666666666667</v>
          </cell>
          <cell r="S204">
            <v>20000</v>
          </cell>
        </row>
        <row r="205">
          <cell r="S205">
            <v>0</v>
          </cell>
        </row>
        <row r="206">
          <cell r="F206"/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S206">
            <v>0</v>
          </cell>
        </row>
        <row r="207">
          <cell r="F207"/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S207">
            <v>0</v>
          </cell>
        </row>
        <row r="208">
          <cell r="F208"/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S208">
            <v>0</v>
          </cell>
        </row>
        <row r="209">
          <cell r="F209"/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S209">
            <v>0</v>
          </cell>
        </row>
        <row r="210">
          <cell r="F210"/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S210">
            <v>0</v>
          </cell>
        </row>
        <row r="211">
          <cell r="F211"/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S211">
            <v>0</v>
          </cell>
        </row>
        <row r="212">
          <cell r="F212"/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S212">
            <v>0</v>
          </cell>
        </row>
        <row r="213">
          <cell r="F213"/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S213">
            <v>0</v>
          </cell>
        </row>
        <row r="214">
          <cell r="F214"/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S214">
            <v>0</v>
          </cell>
        </row>
        <row r="215">
          <cell r="F215"/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S215">
            <v>0</v>
          </cell>
        </row>
        <row r="216">
          <cell r="F216"/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S216">
            <v>0</v>
          </cell>
        </row>
        <row r="217">
          <cell r="F217"/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S217">
            <v>0</v>
          </cell>
        </row>
        <row r="218">
          <cell r="F218"/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S218">
            <v>0</v>
          </cell>
        </row>
        <row r="219">
          <cell r="F219"/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S219">
            <v>0</v>
          </cell>
        </row>
        <row r="220">
          <cell r="F220"/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S220">
            <v>0</v>
          </cell>
        </row>
        <row r="221">
          <cell r="F221"/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S221">
            <v>0</v>
          </cell>
        </row>
        <row r="222">
          <cell r="F222"/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S222">
            <v>0</v>
          </cell>
        </row>
        <row r="223">
          <cell r="F223"/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S223">
            <v>0</v>
          </cell>
        </row>
        <row r="224">
          <cell r="F224"/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S224">
            <v>0</v>
          </cell>
        </row>
        <row r="225">
          <cell r="F225"/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S225">
            <v>0</v>
          </cell>
        </row>
        <row r="226">
          <cell r="F226"/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S226">
            <v>0</v>
          </cell>
        </row>
        <row r="227">
          <cell r="F227"/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S227">
            <v>0</v>
          </cell>
        </row>
        <row r="228">
          <cell r="F228"/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S228">
            <v>0</v>
          </cell>
        </row>
        <row r="229">
          <cell r="F229"/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S229">
            <v>0</v>
          </cell>
        </row>
        <row r="230">
          <cell r="F230"/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S230">
            <v>0</v>
          </cell>
        </row>
        <row r="231">
          <cell r="F231"/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S231">
            <v>0</v>
          </cell>
        </row>
        <row r="232">
          <cell r="F232"/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S232">
            <v>0</v>
          </cell>
        </row>
        <row r="233">
          <cell r="F233"/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S233">
            <v>0</v>
          </cell>
        </row>
        <row r="234">
          <cell r="F234"/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S234">
            <v>0</v>
          </cell>
        </row>
        <row r="235">
          <cell r="F235"/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S235">
            <v>0</v>
          </cell>
        </row>
        <row r="236">
          <cell r="F236"/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S236">
            <v>0</v>
          </cell>
        </row>
        <row r="237">
          <cell r="S237">
            <v>1209316.5449999999</v>
          </cell>
        </row>
        <row r="238">
          <cell r="F238">
            <v>74084.740000000005</v>
          </cell>
          <cell r="G238">
            <v>74084.740000000005</v>
          </cell>
          <cell r="H238">
            <v>74084.740000000005</v>
          </cell>
          <cell r="I238">
            <v>74084.740000000005</v>
          </cell>
          <cell r="J238">
            <v>74084.740000000005</v>
          </cell>
          <cell r="K238">
            <v>74084.740000000005</v>
          </cell>
          <cell r="L238">
            <v>74084.740000000005</v>
          </cell>
          <cell r="M238">
            <v>74084.740000000005</v>
          </cell>
          <cell r="N238">
            <v>74084.740000000005</v>
          </cell>
          <cell r="O238">
            <v>81493.214000000007</v>
          </cell>
          <cell r="P238">
            <v>81493.214000000007</v>
          </cell>
          <cell r="Q238">
            <v>81493.214000000007</v>
          </cell>
          <cell r="S238">
            <v>911242.30200000014</v>
          </cell>
        </row>
        <row r="239">
          <cell r="F239"/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S239">
            <v>0</v>
          </cell>
        </row>
        <row r="240">
          <cell r="F240">
            <v>1960.5630000000001</v>
          </cell>
          <cell r="G240">
            <v>1960.5630000000001</v>
          </cell>
          <cell r="H240">
            <v>1960.5630000000001</v>
          </cell>
          <cell r="I240">
            <v>1960.5630000000001</v>
          </cell>
          <cell r="J240">
            <v>1960.5630000000001</v>
          </cell>
          <cell r="K240">
            <v>1960.5630000000001</v>
          </cell>
          <cell r="L240">
            <v>1960.5630000000001</v>
          </cell>
          <cell r="M240">
            <v>1960.5630000000001</v>
          </cell>
          <cell r="N240">
            <v>1960.5630000000001</v>
          </cell>
          <cell r="O240">
            <v>1960.5630000000001</v>
          </cell>
          <cell r="P240">
            <v>1960.5630000000001</v>
          </cell>
          <cell r="Q240">
            <v>1960.5630000000001</v>
          </cell>
          <cell r="S240">
            <v>23526.756000000008</v>
          </cell>
        </row>
        <row r="241">
          <cell r="F241">
            <v>14538.832000000002</v>
          </cell>
          <cell r="G241">
            <v>14538.832000000002</v>
          </cell>
          <cell r="H241">
            <v>14538.832000000002</v>
          </cell>
          <cell r="I241">
            <v>14538.832000000002</v>
          </cell>
          <cell r="J241">
            <v>14538.832000000002</v>
          </cell>
          <cell r="K241">
            <v>14538.832000000002</v>
          </cell>
          <cell r="L241">
            <v>14538.832000000002</v>
          </cell>
          <cell r="M241">
            <v>14538.832000000002</v>
          </cell>
          <cell r="N241">
            <v>14538.832000000002</v>
          </cell>
          <cell r="O241">
            <v>14538.832000000002</v>
          </cell>
          <cell r="P241">
            <v>14538.832000000002</v>
          </cell>
          <cell r="Q241">
            <v>14538.832000000002</v>
          </cell>
          <cell r="S241">
            <v>174465.98399999997</v>
          </cell>
        </row>
        <row r="242">
          <cell r="F242"/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S242">
            <v>0</v>
          </cell>
        </row>
        <row r="243">
          <cell r="F243"/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1680.2505000000001</v>
          </cell>
          <cell r="M243">
            <v>1680.2505000000001</v>
          </cell>
          <cell r="N243">
            <v>1680.2505000000001</v>
          </cell>
          <cell r="O243">
            <v>1680.2505000000001</v>
          </cell>
          <cell r="P243">
            <v>1680.2505000000001</v>
          </cell>
          <cell r="Q243">
            <v>1680.2505000000001</v>
          </cell>
          <cell r="S243">
            <v>10081.503000000001</v>
          </cell>
        </row>
        <row r="244">
          <cell r="F244">
            <v>7500</v>
          </cell>
          <cell r="G244">
            <v>7500</v>
          </cell>
          <cell r="H244">
            <v>7500</v>
          </cell>
          <cell r="I244">
            <v>7500</v>
          </cell>
          <cell r="J244">
            <v>7500</v>
          </cell>
          <cell r="K244">
            <v>7500</v>
          </cell>
          <cell r="L244">
            <v>7500</v>
          </cell>
          <cell r="M244">
            <v>7500</v>
          </cell>
          <cell r="N244">
            <v>7500</v>
          </cell>
          <cell r="O244">
            <v>7500</v>
          </cell>
          <cell r="P244">
            <v>7500</v>
          </cell>
          <cell r="Q244">
            <v>7500</v>
          </cell>
          <cell r="S244">
            <v>90000</v>
          </cell>
        </row>
        <row r="245">
          <cell r="S245">
            <v>4271.7840000000006</v>
          </cell>
        </row>
        <row r="246"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S246">
            <v>0</v>
          </cell>
        </row>
        <row r="247"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S247">
            <v>0</v>
          </cell>
        </row>
        <row r="248">
          <cell r="F248">
            <v>355.98200000000003</v>
          </cell>
          <cell r="G248">
            <v>355.98200000000003</v>
          </cell>
          <cell r="H248">
            <v>355.98200000000003</v>
          </cell>
          <cell r="I248">
            <v>355.98200000000003</v>
          </cell>
          <cell r="J248">
            <v>355.98200000000003</v>
          </cell>
          <cell r="K248">
            <v>355.98200000000003</v>
          </cell>
          <cell r="L248">
            <v>355.98200000000003</v>
          </cell>
          <cell r="M248">
            <v>355.98200000000003</v>
          </cell>
          <cell r="N248">
            <v>355.98200000000003</v>
          </cell>
          <cell r="O248">
            <v>355.98200000000003</v>
          </cell>
          <cell r="P248">
            <v>355.98200000000003</v>
          </cell>
          <cell r="Q248">
            <v>355.98200000000003</v>
          </cell>
          <cell r="S248">
            <v>4271.7840000000006</v>
          </cell>
        </row>
        <row r="249">
          <cell r="S249">
            <v>1246914.6615720326</v>
          </cell>
        </row>
        <row r="250">
          <cell r="F250">
            <v>1597.5</v>
          </cell>
          <cell r="G250">
            <v>1597.5</v>
          </cell>
          <cell r="H250">
            <v>1597.5</v>
          </cell>
          <cell r="I250">
            <v>1597.5</v>
          </cell>
          <cell r="J250">
            <v>1597.5</v>
          </cell>
          <cell r="K250">
            <v>1597.5</v>
          </cell>
          <cell r="L250">
            <v>1597.5</v>
          </cell>
          <cell r="M250">
            <v>3195</v>
          </cell>
          <cell r="N250">
            <v>1597.5</v>
          </cell>
          <cell r="O250">
            <v>1597.5</v>
          </cell>
          <cell r="P250">
            <v>1597.5</v>
          </cell>
          <cell r="Q250">
            <v>1597.5</v>
          </cell>
          <cell r="S250">
            <v>20767.5</v>
          </cell>
        </row>
        <row r="251">
          <cell r="F251"/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S251">
            <v>0</v>
          </cell>
        </row>
        <row r="252">
          <cell r="F252">
            <v>1666.6666666666667</v>
          </cell>
          <cell r="G252">
            <v>1666.6666666666667</v>
          </cell>
          <cell r="H252">
            <v>1666.6666666666667</v>
          </cell>
          <cell r="I252">
            <v>1666.6666666666667</v>
          </cell>
          <cell r="J252">
            <v>1666.6666666666667</v>
          </cell>
          <cell r="K252">
            <v>1666.6666666666667</v>
          </cell>
          <cell r="L252">
            <v>1666.6666666666667</v>
          </cell>
          <cell r="M252">
            <v>1666.6666666666667</v>
          </cell>
          <cell r="N252">
            <v>1666.6666666666667</v>
          </cell>
          <cell r="O252">
            <v>1666.6666666666667</v>
          </cell>
          <cell r="P252">
            <v>1666.6666666666667</v>
          </cell>
          <cell r="Q252">
            <v>1666.6666666666667</v>
          </cell>
          <cell r="S252">
            <v>20000</v>
          </cell>
        </row>
        <row r="253">
          <cell r="F253"/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S253">
            <v>0</v>
          </cell>
        </row>
        <row r="254">
          <cell r="F254"/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S254">
            <v>0</v>
          </cell>
        </row>
        <row r="255">
          <cell r="F255"/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S255">
            <v>0</v>
          </cell>
        </row>
        <row r="256">
          <cell r="F256">
            <v>100</v>
          </cell>
          <cell r="G256">
            <v>100</v>
          </cell>
          <cell r="H256">
            <v>100</v>
          </cell>
          <cell r="I256">
            <v>100</v>
          </cell>
          <cell r="J256">
            <v>100</v>
          </cell>
          <cell r="K256">
            <v>100</v>
          </cell>
          <cell r="L256">
            <v>100</v>
          </cell>
          <cell r="M256">
            <v>100</v>
          </cell>
          <cell r="N256">
            <v>100</v>
          </cell>
          <cell r="O256">
            <v>100</v>
          </cell>
          <cell r="P256">
            <v>100</v>
          </cell>
          <cell r="Q256">
            <v>100</v>
          </cell>
          <cell r="S256">
            <v>1200</v>
          </cell>
        </row>
        <row r="257">
          <cell r="F257">
            <v>15442.5</v>
          </cell>
          <cell r="G257">
            <v>15442.5</v>
          </cell>
          <cell r="H257">
            <v>15442.5</v>
          </cell>
          <cell r="I257">
            <v>15442.5</v>
          </cell>
          <cell r="J257">
            <v>15442.5</v>
          </cell>
          <cell r="K257">
            <v>15442.5</v>
          </cell>
          <cell r="L257">
            <v>15442.5</v>
          </cell>
          <cell r="M257">
            <v>15442.5</v>
          </cell>
          <cell r="N257">
            <v>15442.5</v>
          </cell>
          <cell r="O257">
            <v>15442.5</v>
          </cell>
          <cell r="P257">
            <v>15442.5</v>
          </cell>
          <cell r="Q257">
            <v>15442.5</v>
          </cell>
          <cell r="S257">
            <v>185310</v>
          </cell>
        </row>
        <row r="258">
          <cell r="F258">
            <v>9078.9120000000003</v>
          </cell>
          <cell r="G258">
            <v>9078.9120000000003</v>
          </cell>
          <cell r="H258">
            <v>9078.9120000000003</v>
          </cell>
          <cell r="I258">
            <v>9078.9120000000003</v>
          </cell>
          <cell r="J258">
            <v>9078.9120000000003</v>
          </cell>
          <cell r="K258">
            <v>9078.9120000000003</v>
          </cell>
          <cell r="L258">
            <v>9078.9120000000003</v>
          </cell>
          <cell r="M258">
            <v>9078.9120000000003</v>
          </cell>
          <cell r="N258">
            <v>9078.9120000000003</v>
          </cell>
          <cell r="O258">
            <v>9078.9120000000003</v>
          </cell>
          <cell r="P258">
            <v>13618.368</v>
          </cell>
          <cell r="Q258">
            <v>13618.368</v>
          </cell>
          <cell r="S258">
            <v>118025.85599999999</v>
          </cell>
        </row>
        <row r="259">
          <cell r="F259"/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S259">
            <v>0</v>
          </cell>
        </row>
        <row r="260">
          <cell r="F260"/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S260">
            <v>0</v>
          </cell>
        </row>
        <row r="261"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S261">
            <v>0</v>
          </cell>
        </row>
        <row r="262">
          <cell r="F262">
            <v>73436.86820600272</v>
          </cell>
          <cell r="G262">
            <v>73436.86820600272</v>
          </cell>
          <cell r="H262">
            <v>73436.86820600272</v>
          </cell>
          <cell r="I262">
            <v>73436.86820600272</v>
          </cell>
          <cell r="J262">
            <v>73436.86820600272</v>
          </cell>
          <cell r="K262">
            <v>73436.86820600272</v>
          </cell>
          <cell r="L262">
            <v>73436.86820600272</v>
          </cell>
          <cell r="M262">
            <v>73436.86820600272</v>
          </cell>
          <cell r="N262">
            <v>73436.86820600272</v>
          </cell>
          <cell r="O262">
            <v>73436.86820600272</v>
          </cell>
          <cell r="P262">
            <v>73436.86820600272</v>
          </cell>
          <cell r="Q262">
            <v>73436.86820600272</v>
          </cell>
          <cell r="S262">
            <v>881242.41847203288</v>
          </cell>
        </row>
        <row r="263">
          <cell r="F263"/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S263">
            <v>0</v>
          </cell>
        </row>
        <row r="264">
          <cell r="F264"/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S264">
            <v>0</v>
          </cell>
        </row>
        <row r="265">
          <cell r="F265">
            <v>998.57999999999993</v>
          </cell>
          <cell r="G265">
            <v>998.57999999999993</v>
          </cell>
          <cell r="H265">
            <v>998.57999999999993</v>
          </cell>
          <cell r="I265">
            <v>998.57999999999993</v>
          </cell>
          <cell r="J265">
            <v>998.57999999999993</v>
          </cell>
          <cell r="K265">
            <v>1046.3810000000001</v>
          </cell>
          <cell r="L265">
            <v>1046.3810000000001</v>
          </cell>
          <cell r="M265">
            <v>1046.3810000000001</v>
          </cell>
          <cell r="N265">
            <v>1046.3810000000001</v>
          </cell>
          <cell r="O265">
            <v>1063.4877000000001</v>
          </cell>
          <cell r="P265">
            <v>1063.4877000000001</v>
          </cell>
          <cell r="Q265">
            <v>1063.4877000000001</v>
          </cell>
          <cell r="S265">
            <v>12368.8871</v>
          </cell>
        </row>
        <row r="266">
          <cell r="F266">
            <v>666.66666666666663</v>
          </cell>
          <cell r="G266">
            <v>666.66666666666663</v>
          </cell>
          <cell r="H266">
            <v>666.66666666666663</v>
          </cell>
          <cell r="I266">
            <v>666.66666666666663</v>
          </cell>
          <cell r="J266">
            <v>666.66666666666663</v>
          </cell>
          <cell r="K266">
            <v>666.66666666666663</v>
          </cell>
          <cell r="L266">
            <v>666.66666666666663</v>
          </cell>
          <cell r="M266">
            <v>666.66666666666663</v>
          </cell>
          <cell r="N266">
            <v>666.66666666666663</v>
          </cell>
          <cell r="O266">
            <v>666.66666666666663</v>
          </cell>
          <cell r="P266">
            <v>666.66666666666663</v>
          </cell>
          <cell r="Q266">
            <v>666.66666666666663</v>
          </cell>
          <cell r="S266">
            <v>8000.0000000000009</v>
          </cell>
        </row>
        <row r="267">
          <cell r="F267"/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S267">
            <v>0</v>
          </cell>
        </row>
        <row r="268">
          <cell r="S268">
            <v>246499.99999999994</v>
          </cell>
        </row>
        <row r="269">
          <cell r="F269">
            <v>2000</v>
          </cell>
          <cell r="G269">
            <v>2000</v>
          </cell>
          <cell r="H269">
            <v>2000</v>
          </cell>
          <cell r="I269">
            <v>2000</v>
          </cell>
          <cell r="J269">
            <v>2000</v>
          </cell>
          <cell r="K269">
            <v>2000</v>
          </cell>
          <cell r="L269">
            <v>2000</v>
          </cell>
          <cell r="M269">
            <v>2000</v>
          </cell>
          <cell r="N269">
            <v>2000</v>
          </cell>
          <cell r="O269">
            <v>2000</v>
          </cell>
          <cell r="P269">
            <v>2000</v>
          </cell>
          <cell r="Q269">
            <v>2000</v>
          </cell>
          <cell r="S269">
            <v>24000</v>
          </cell>
        </row>
        <row r="270">
          <cell r="F270">
            <v>625</v>
          </cell>
          <cell r="G270">
            <v>625</v>
          </cell>
          <cell r="H270">
            <v>625</v>
          </cell>
          <cell r="I270">
            <v>625</v>
          </cell>
          <cell r="J270">
            <v>625</v>
          </cell>
          <cell r="K270">
            <v>625</v>
          </cell>
          <cell r="L270">
            <v>625</v>
          </cell>
          <cell r="M270">
            <v>625</v>
          </cell>
          <cell r="N270">
            <v>625</v>
          </cell>
          <cell r="O270">
            <v>625</v>
          </cell>
          <cell r="P270">
            <v>625</v>
          </cell>
          <cell r="Q270">
            <v>625</v>
          </cell>
          <cell r="S270">
            <v>7500</v>
          </cell>
        </row>
        <row r="271">
          <cell r="F271">
            <v>166.66666666666666</v>
          </cell>
          <cell r="G271">
            <v>166.66666666666666</v>
          </cell>
          <cell r="H271">
            <v>166.66666666666666</v>
          </cell>
          <cell r="I271">
            <v>166.66666666666666</v>
          </cell>
          <cell r="J271">
            <v>166.66666666666666</v>
          </cell>
          <cell r="K271">
            <v>166.66666666666666</v>
          </cell>
          <cell r="L271">
            <v>166.66666666666666</v>
          </cell>
          <cell r="M271">
            <v>166.66666666666666</v>
          </cell>
          <cell r="N271">
            <v>166.66666666666666</v>
          </cell>
          <cell r="O271">
            <v>166.66666666666666</v>
          </cell>
          <cell r="P271">
            <v>166.66666666666666</v>
          </cell>
          <cell r="Q271">
            <v>166.66666666666666</v>
          </cell>
          <cell r="S271">
            <v>2000.0000000000002</v>
          </cell>
        </row>
        <row r="272">
          <cell r="F272"/>
          <cell r="G272">
            <v>13000</v>
          </cell>
          <cell r="H272">
            <v>0</v>
          </cell>
          <cell r="I272">
            <v>0</v>
          </cell>
          <cell r="J272">
            <v>0</v>
          </cell>
          <cell r="K272">
            <v>200000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S272">
            <v>213000</v>
          </cell>
        </row>
        <row r="273">
          <cell r="F273"/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S273">
            <v>0</v>
          </cell>
        </row>
        <row r="274">
          <cell r="S274">
            <v>0</v>
          </cell>
        </row>
        <row r="275">
          <cell r="F275"/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S275">
            <v>0</v>
          </cell>
        </row>
        <row r="276">
          <cell r="F276"/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S276">
            <v>0</v>
          </cell>
        </row>
        <row r="277">
          <cell r="F277"/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S277">
            <v>0</v>
          </cell>
        </row>
        <row r="278">
          <cell r="S278">
            <v>2000.0000000000002</v>
          </cell>
        </row>
        <row r="279">
          <cell r="F279"/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S279">
            <v>0</v>
          </cell>
        </row>
        <row r="280">
          <cell r="F280"/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S280">
            <v>0</v>
          </cell>
        </row>
        <row r="281">
          <cell r="F281">
            <v>166.66666666666666</v>
          </cell>
          <cell r="G281">
            <v>166.66666666666666</v>
          </cell>
          <cell r="H281">
            <v>166.66666666666666</v>
          </cell>
          <cell r="I281">
            <v>166.66666666666666</v>
          </cell>
          <cell r="J281">
            <v>166.66666666666666</v>
          </cell>
          <cell r="K281">
            <v>166.66666666666666</v>
          </cell>
          <cell r="L281">
            <v>166.66666666666666</v>
          </cell>
          <cell r="M281">
            <v>166.66666666666666</v>
          </cell>
          <cell r="N281">
            <v>166.66666666666666</v>
          </cell>
          <cell r="O281">
            <v>166.66666666666666</v>
          </cell>
          <cell r="P281">
            <v>166.66666666666666</v>
          </cell>
          <cell r="Q281">
            <v>166.66666666666666</v>
          </cell>
          <cell r="S281">
            <v>2000.0000000000002</v>
          </cell>
        </row>
        <row r="282">
          <cell r="F282"/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S282">
            <v>0</v>
          </cell>
        </row>
        <row r="283">
          <cell r="F283"/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S283">
            <v>0</v>
          </cell>
        </row>
        <row r="284">
          <cell r="F284"/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0</v>
          </cell>
        </row>
        <row r="285">
          <cell r="F285"/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S285">
            <v>0</v>
          </cell>
        </row>
        <row r="286">
          <cell r="S286">
            <v>113203.39440000003</v>
          </cell>
        </row>
        <row r="287">
          <cell r="F287">
            <v>500</v>
          </cell>
          <cell r="G287">
            <v>500</v>
          </cell>
          <cell r="H287">
            <v>500</v>
          </cell>
          <cell r="I287">
            <v>500</v>
          </cell>
          <cell r="J287">
            <v>500</v>
          </cell>
          <cell r="K287">
            <v>500</v>
          </cell>
          <cell r="L287">
            <v>500</v>
          </cell>
          <cell r="M287">
            <v>500</v>
          </cell>
          <cell r="N287">
            <v>500</v>
          </cell>
          <cell r="O287">
            <v>500</v>
          </cell>
          <cell r="P287">
            <v>500</v>
          </cell>
          <cell r="Q287">
            <v>500</v>
          </cell>
          <cell r="S287">
            <v>6000</v>
          </cell>
        </row>
        <row r="288">
          <cell r="F288">
            <v>333.33333333333331</v>
          </cell>
          <cell r="G288">
            <v>333.33333333333331</v>
          </cell>
          <cell r="H288">
            <v>333.33333333333331</v>
          </cell>
          <cell r="I288">
            <v>333.33333333333331</v>
          </cell>
          <cell r="J288">
            <v>333.33333333333331</v>
          </cell>
          <cell r="K288">
            <v>333.33333333333331</v>
          </cell>
          <cell r="L288">
            <v>333.33333333333331</v>
          </cell>
          <cell r="M288">
            <v>333.33333333333331</v>
          </cell>
          <cell r="N288">
            <v>333.33333333333331</v>
          </cell>
          <cell r="O288">
            <v>333.33333333333331</v>
          </cell>
          <cell r="P288">
            <v>333.33333333333331</v>
          </cell>
          <cell r="Q288">
            <v>333.33333333333331</v>
          </cell>
          <cell r="S288">
            <v>4000.0000000000005</v>
          </cell>
        </row>
        <row r="289"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S289">
            <v>0</v>
          </cell>
        </row>
        <row r="290">
          <cell r="F290">
            <v>333.33333333333331</v>
          </cell>
          <cell r="G290">
            <v>333.33333333333331</v>
          </cell>
          <cell r="H290">
            <v>333.33333333333331</v>
          </cell>
          <cell r="I290">
            <v>333.33333333333331</v>
          </cell>
          <cell r="J290">
            <v>333.33333333333331</v>
          </cell>
          <cell r="K290">
            <v>333.33333333333331</v>
          </cell>
          <cell r="L290">
            <v>333.33333333333331</v>
          </cell>
          <cell r="M290">
            <v>333.33333333333331</v>
          </cell>
          <cell r="N290">
            <v>333.33333333333331</v>
          </cell>
          <cell r="O290">
            <v>333.33333333333331</v>
          </cell>
          <cell r="P290">
            <v>333.33333333333331</v>
          </cell>
          <cell r="Q290">
            <v>333.33333333333331</v>
          </cell>
          <cell r="S290">
            <v>4000.0000000000005</v>
          </cell>
        </row>
        <row r="291">
          <cell r="F291">
            <v>2083.3333333333335</v>
          </cell>
          <cell r="G291">
            <v>2083.3333333333335</v>
          </cell>
          <cell r="H291">
            <v>2083.3333333333335</v>
          </cell>
          <cell r="I291">
            <v>2083.3333333333335</v>
          </cell>
          <cell r="J291">
            <v>2083.3333333333335</v>
          </cell>
          <cell r="K291">
            <v>2083.3333333333335</v>
          </cell>
          <cell r="L291">
            <v>2083.3333333333335</v>
          </cell>
          <cell r="M291">
            <v>2083.3333333333335</v>
          </cell>
          <cell r="N291">
            <v>2083.3333333333335</v>
          </cell>
          <cell r="O291">
            <v>2083.3333333333335</v>
          </cell>
          <cell r="P291">
            <v>2083.3333333333335</v>
          </cell>
          <cell r="Q291">
            <v>2083.3333333333335</v>
          </cell>
          <cell r="S291">
            <v>24999.999999999996</v>
          </cell>
        </row>
        <row r="292">
          <cell r="F292">
            <v>4100</v>
          </cell>
          <cell r="G292">
            <v>4100</v>
          </cell>
          <cell r="H292">
            <v>4100</v>
          </cell>
          <cell r="I292">
            <v>4100</v>
          </cell>
          <cell r="J292">
            <v>4100</v>
          </cell>
          <cell r="K292">
            <v>4100</v>
          </cell>
          <cell r="L292">
            <v>4100</v>
          </cell>
          <cell r="M292">
            <v>4100</v>
          </cell>
          <cell r="N292">
            <v>4100</v>
          </cell>
          <cell r="O292">
            <v>4100</v>
          </cell>
          <cell r="P292">
            <v>4100</v>
          </cell>
          <cell r="Q292">
            <v>4100</v>
          </cell>
          <cell r="S292">
            <v>49200</v>
          </cell>
        </row>
        <row r="293">
          <cell r="F293"/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S293">
            <v>0</v>
          </cell>
        </row>
        <row r="294">
          <cell r="F294"/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S294">
            <v>0</v>
          </cell>
        </row>
        <row r="295">
          <cell r="F295">
            <v>2083.6162000000004</v>
          </cell>
          <cell r="G295">
            <v>2083.6162000000004</v>
          </cell>
          <cell r="H295">
            <v>2083.6162000000004</v>
          </cell>
          <cell r="I295">
            <v>2083.6162000000004</v>
          </cell>
          <cell r="J295">
            <v>2083.6162000000004</v>
          </cell>
          <cell r="K295">
            <v>2083.6162000000004</v>
          </cell>
          <cell r="L295">
            <v>2083.6162000000004</v>
          </cell>
          <cell r="M295">
            <v>2083.6162000000004</v>
          </cell>
          <cell r="N295">
            <v>2083.6162000000004</v>
          </cell>
          <cell r="O295">
            <v>2083.6162000000004</v>
          </cell>
          <cell r="P295">
            <v>2083.6162000000004</v>
          </cell>
          <cell r="Q295">
            <v>2083.6162000000004</v>
          </cell>
          <cell r="S295">
            <v>25003.394400000005</v>
          </cell>
        </row>
        <row r="296">
          <cell r="F296"/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S296">
            <v>0</v>
          </cell>
        </row>
        <row r="297">
          <cell r="S297">
            <v>0</v>
          </cell>
        </row>
        <row r="298">
          <cell r="F298"/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S298">
            <v>0</v>
          </cell>
        </row>
        <row r="299">
          <cell r="S299">
            <v>4594.7</v>
          </cell>
        </row>
        <row r="300">
          <cell r="F300"/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S300">
            <v>0</v>
          </cell>
        </row>
        <row r="301">
          <cell r="F301"/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S301">
            <v>0</v>
          </cell>
        </row>
        <row r="302">
          <cell r="F302"/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S302">
            <v>0</v>
          </cell>
        </row>
        <row r="303">
          <cell r="F303"/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S303">
            <v>0</v>
          </cell>
        </row>
        <row r="304">
          <cell r="F304"/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S304">
            <v>0</v>
          </cell>
        </row>
        <row r="305">
          <cell r="F305"/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S305">
            <v>0</v>
          </cell>
        </row>
        <row r="306">
          <cell r="F306"/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S306">
            <v>0</v>
          </cell>
        </row>
        <row r="307">
          <cell r="F307"/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S307">
            <v>0</v>
          </cell>
        </row>
        <row r="308">
          <cell r="F308"/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S308">
            <v>0</v>
          </cell>
        </row>
        <row r="309">
          <cell r="F309"/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S309">
            <v>0</v>
          </cell>
        </row>
        <row r="310">
          <cell r="F310"/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4594.7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S310">
            <v>4594.7</v>
          </cell>
        </row>
        <row r="311"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S311">
            <v>0</v>
          </cell>
        </row>
        <row r="312">
          <cell r="F312"/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S312">
            <v>0</v>
          </cell>
        </row>
        <row r="313">
          <cell r="F313"/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S313">
            <v>0</v>
          </cell>
        </row>
        <row r="314">
          <cell r="S314">
            <v>14190.236400000003</v>
          </cell>
        </row>
        <row r="315">
          <cell r="F315"/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S315">
            <v>0</v>
          </cell>
        </row>
        <row r="316">
          <cell r="F316"/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S316">
            <v>0</v>
          </cell>
        </row>
        <row r="317">
          <cell r="F317"/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S317">
            <v>0</v>
          </cell>
        </row>
        <row r="318">
          <cell r="F318"/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S318">
            <v>0</v>
          </cell>
        </row>
        <row r="319">
          <cell r="F319"/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S319">
            <v>0</v>
          </cell>
        </row>
        <row r="320">
          <cell r="F320">
            <v>1182.5197000000001</v>
          </cell>
          <cell r="G320">
            <v>1182.5197000000001</v>
          </cell>
          <cell r="H320">
            <v>1182.5197000000001</v>
          </cell>
          <cell r="I320">
            <v>1182.5197000000001</v>
          </cell>
          <cell r="J320">
            <v>1182.5197000000001</v>
          </cell>
          <cell r="K320">
            <v>1182.5197000000001</v>
          </cell>
          <cell r="L320">
            <v>1182.5197000000001</v>
          </cell>
          <cell r="M320">
            <v>1182.5197000000001</v>
          </cell>
          <cell r="N320">
            <v>1182.5197000000001</v>
          </cell>
          <cell r="O320">
            <v>1182.5197000000001</v>
          </cell>
          <cell r="P320">
            <v>1182.5197000000001</v>
          </cell>
          <cell r="Q320">
            <v>1182.5197000000001</v>
          </cell>
          <cell r="S320">
            <v>14190.236400000003</v>
          </cell>
        </row>
        <row r="321">
          <cell r="S321">
            <v>0</v>
          </cell>
        </row>
        <row r="322">
          <cell r="F322"/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S322">
            <v>0</v>
          </cell>
        </row>
        <row r="323">
          <cell r="F323"/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S323">
            <v>0</v>
          </cell>
        </row>
        <row r="324">
          <cell r="S324">
            <v>0</v>
          </cell>
        </row>
        <row r="325">
          <cell r="F325"/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S325">
            <v>0</v>
          </cell>
        </row>
        <row r="326">
          <cell r="F326"/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S326">
            <v>0</v>
          </cell>
        </row>
        <row r="327">
          <cell r="F327"/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S327">
            <v>0</v>
          </cell>
        </row>
        <row r="328">
          <cell r="F328"/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S328">
            <v>0</v>
          </cell>
        </row>
        <row r="329">
          <cell r="F329"/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S329">
            <v>0</v>
          </cell>
        </row>
        <row r="330">
          <cell r="F330"/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S330">
            <v>0</v>
          </cell>
        </row>
        <row r="331">
          <cell r="F331"/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S331">
            <v>0</v>
          </cell>
        </row>
        <row r="332">
          <cell r="F332"/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S332">
            <v>0</v>
          </cell>
        </row>
        <row r="333">
          <cell r="F333"/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S333">
            <v>0</v>
          </cell>
        </row>
        <row r="334">
          <cell r="F334"/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S334">
            <v>0</v>
          </cell>
        </row>
        <row r="335">
          <cell r="F335"/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S335">
            <v>0</v>
          </cell>
        </row>
        <row r="336">
          <cell r="F336"/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S336">
            <v>0</v>
          </cell>
        </row>
        <row r="337">
          <cell r="F337"/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S337">
            <v>0</v>
          </cell>
        </row>
        <row r="338">
          <cell r="F338"/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S338">
            <v>0</v>
          </cell>
        </row>
        <row r="339">
          <cell r="F339"/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S339">
            <v>0</v>
          </cell>
        </row>
        <row r="340">
          <cell r="F340"/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S340">
            <v>0</v>
          </cell>
        </row>
        <row r="341">
          <cell r="F341"/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S341">
            <v>0</v>
          </cell>
        </row>
        <row r="342">
          <cell r="F342"/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S342">
            <v>0</v>
          </cell>
        </row>
        <row r="343">
          <cell r="F343"/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S343">
            <v>0</v>
          </cell>
        </row>
        <row r="344">
          <cell r="F344"/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S344">
            <v>0</v>
          </cell>
        </row>
        <row r="345">
          <cell r="F345"/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S345">
            <v>0</v>
          </cell>
        </row>
        <row r="346">
          <cell r="F346"/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S346">
            <v>0</v>
          </cell>
        </row>
        <row r="347">
          <cell r="S347">
            <v>85000</v>
          </cell>
        </row>
        <row r="348">
          <cell r="F348">
            <v>1000</v>
          </cell>
          <cell r="G348">
            <v>1000</v>
          </cell>
          <cell r="H348">
            <v>1000</v>
          </cell>
          <cell r="I348">
            <v>1000</v>
          </cell>
          <cell r="J348">
            <v>1000</v>
          </cell>
          <cell r="K348">
            <v>1000</v>
          </cell>
          <cell r="L348">
            <v>1000</v>
          </cell>
          <cell r="M348">
            <v>1000</v>
          </cell>
          <cell r="N348">
            <v>1000</v>
          </cell>
          <cell r="O348">
            <v>1000</v>
          </cell>
          <cell r="P348">
            <v>1000</v>
          </cell>
          <cell r="Q348">
            <v>1000</v>
          </cell>
          <cell r="S348">
            <v>12000</v>
          </cell>
        </row>
        <row r="349">
          <cell r="F349">
            <v>1666.6666666666667</v>
          </cell>
          <cell r="G349">
            <v>1666.6666666666667</v>
          </cell>
          <cell r="H349">
            <v>1666.6666666666667</v>
          </cell>
          <cell r="I349">
            <v>1666.6666666666667</v>
          </cell>
          <cell r="J349">
            <v>1666.6666666666667</v>
          </cell>
          <cell r="K349">
            <v>1666.6666666666667</v>
          </cell>
          <cell r="L349">
            <v>1666.6666666666667</v>
          </cell>
          <cell r="M349">
            <v>1666.6666666666667</v>
          </cell>
          <cell r="N349">
            <v>1666.6666666666667</v>
          </cell>
          <cell r="O349">
            <v>1666.6666666666667</v>
          </cell>
          <cell r="P349">
            <v>1666.6666666666667</v>
          </cell>
          <cell r="Q349">
            <v>1666.6666666666667</v>
          </cell>
          <cell r="S349">
            <v>20000</v>
          </cell>
        </row>
        <row r="350">
          <cell r="F350">
            <v>666.66666666666663</v>
          </cell>
          <cell r="G350">
            <v>666.66666666666663</v>
          </cell>
          <cell r="H350">
            <v>666.66666666666663</v>
          </cell>
          <cell r="I350">
            <v>666.66666666666663</v>
          </cell>
          <cell r="J350">
            <v>666.66666666666663</v>
          </cell>
          <cell r="K350">
            <v>666.66666666666663</v>
          </cell>
          <cell r="L350">
            <v>666.66666666666663</v>
          </cell>
          <cell r="M350">
            <v>666.66666666666663</v>
          </cell>
          <cell r="N350">
            <v>666.66666666666663</v>
          </cell>
          <cell r="O350">
            <v>666.66666666666663</v>
          </cell>
          <cell r="P350">
            <v>666.66666666666663</v>
          </cell>
          <cell r="Q350">
            <v>666.66666666666663</v>
          </cell>
          <cell r="S350">
            <v>8000.0000000000009</v>
          </cell>
        </row>
        <row r="351">
          <cell r="F351"/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S351">
            <v>0</v>
          </cell>
        </row>
        <row r="352">
          <cell r="F352">
            <v>250</v>
          </cell>
          <cell r="G352">
            <v>250</v>
          </cell>
          <cell r="H352">
            <v>250</v>
          </cell>
          <cell r="I352">
            <v>250</v>
          </cell>
          <cell r="J352">
            <v>250</v>
          </cell>
          <cell r="K352">
            <v>250</v>
          </cell>
          <cell r="L352">
            <v>250</v>
          </cell>
          <cell r="M352">
            <v>250</v>
          </cell>
          <cell r="N352">
            <v>250</v>
          </cell>
          <cell r="O352">
            <v>250</v>
          </cell>
          <cell r="P352">
            <v>250</v>
          </cell>
          <cell r="Q352">
            <v>250</v>
          </cell>
          <cell r="S352">
            <v>3000</v>
          </cell>
        </row>
        <row r="353">
          <cell r="F353">
            <v>2500</v>
          </cell>
          <cell r="G353">
            <v>2500</v>
          </cell>
          <cell r="H353">
            <v>2500</v>
          </cell>
          <cell r="I353">
            <v>2500</v>
          </cell>
          <cell r="J353">
            <v>2500</v>
          </cell>
          <cell r="K353">
            <v>2500</v>
          </cell>
          <cell r="L353">
            <v>2500</v>
          </cell>
          <cell r="M353">
            <v>2500</v>
          </cell>
          <cell r="N353">
            <v>2500</v>
          </cell>
          <cell r="O353">
            <v>2500</v>
          </cell>
          <cell r="P353">
            <v>2500</v>
          </cell>
          <cell r="Q353">
            <v>2500</v>
          </cell>
          <cell r="S353">
            <v>30000</v>
          </cell>
        </row>
        <row r="354"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12000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S354">
            <v>12000</v>
          </cell>
        </row>
        <row r="355">
          <cell r="S355">
            <v>123199.99999999996</v>
          </cell>
        </row>
        <row r="356">
          <cell r="F356"/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S356">
            <v>0</v>
          </cell>
        </row>
        <row r="357">
          <cell r="F357"/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S357">
            <v>0</v>
          </cell>
        </row>
        <row r="358">
          <cell r="F358">
            <v>6583.333333333333</v>
          </cell>
          <cell r="G358">
            <v>6583.333333333333</v>
          </cell>
          <cell r="H358">
            <v>6583.333333333333</v>
          </cell>
          <cell r="I358">
            <v>6583.333333333333</v>
          </cell>
          <cell r="J358">
            <v>6583.333333333333</v>
          </cell>
          <cell r="K358">
            <v>6583.333333333333</v>
          </cell>
          <cell r="L358">
            <v>6583.333333333333</v>
          </cell>
          <cell r="M358">
            <v>6583.333333333333</v>
          </cell>
          <cell r="N358">
            <v>6583.333333333333</v>
          </cell>
          <cell r="O358">
            <v>6583.333333333333</v>
          </cell>
          <cell r="P358">
            <v>6583.333333333333</v>
          </cell>
          <cell r="Q358">
            <v>6583.333333333333</v>
          </cell>
          <cell r="S358">
            <v>79000</v>
          </cell>
        </row>
        <row r="359">
          <cell r="F359"/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S359">
            <v>0</v>
          </cell>
        </row>
        <row r="360">
          <cell r="F360">
            <v>16000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S360">
            <v>16000</v>
          </cell>
        </row>
        <row r="361">
          <cell r="F361">
            <v>1000</v>
          </cell>
          <cell r="G361">
            <v>1000</v>
          </cell>
          <cell r="H361">
            <v>1000</v>
          </cell>
          <cell r="I361">
            <v>1000</v>
          </cell>
          <cell r="J361">
            <v>1000</v>
          </cell>
          <cell r="K361">
            <v>1000</v>
          </cell>
          <cell r="L361">
            <v>1000</v>
          </cell>
          <cell r="M361">
            <v>1000</v>
          </cell>
          <cell r="N361">
            <v>1000</v>
          </cell>
          <cell r="O361">
            <v>1000</v>
          </cell>
          <cell r="P361">
            <v>1000</v>
          </cell>
          <cell r="Q361">
            <v>1000</v>
          </cell>
          <cell r="S361">
            <v>12000</v>
          </cell>
        </row>
        <row r="362">
          <cell r="F362"/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S362">
            <v>0</v>
          </cell>
        </row>
        <row r="363">
          <cell r="F363"/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S363">
            <v>0</v>
          </cell>
        </row>
        <row r="364">
          <cell r="F364">
            <v>100</v>
          </cell>
          <cell r="G364">
            <v>100</v>
          </cell>
          <cell r="H364">
            <v>100</v>
          </cell>
          <cell r="I364">
            <v>100</v>
          </cell>
          <cell r="J364">
            <v>100</v>
          </cell>
          <cell r="K364">
            <v>100</v>
          </cell>
          <cell r="L364">
            <v>100</v>
          </cell>
          <cell r="M364">
            <v>100</v>
          </cell>
          <cell r="N364">
            <v>100</v>
          </cell>
          <cell r="O364">
            <v>100</v>
          </cell>
          <cell r="P364">
            <v>100</v>
          </cell>
          <cell r="Q364">
            <v>100</v>
          </cell>
          <cell r="S364">
            <v>1200</v>
          </cell>
        </row>
        <row r="365">
          <cell r="F365"/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S365">
            <v>0</v>
          </cell>
        </row>
        <row r="366">
          <cell r="F366"/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S366">
            <v>0</v>
          </cell>
        </row>
        <row r="367">
          <cell r="F367"/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S367">
            <v>0</v>
          </cell>
        </row>
        <row r="368">
          <cell r="F368"/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S368">
            <v>0</v>
          </cell>
        </row>
        <row r="369">
          <cell r="F369"/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S369">
            <v>0</v>
          </cell>
        </row>
        <row r="370">
          <cell r="F370"/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S370">
            <v>0</v>
          </cell>
        </row>
        <row r="371">
          <cell r="F371"/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S371">
            <v>0</v>
          </cell>
        </row>
        <row r="372">
          <cell r="F372">
            <v>1250</v>
          </cell>
          <cell r="G372">
            <v>1250</v>
          </cell>
          <cell r="H372">
            <v>1250</v>
          </cell>
          <cell r="I372">
            <v>1250</v>
          </cell>
          <cell r="J372">
            <v>1250</v>
          </cell>
          <cell r="K372">
            <v>1250</v>
          </cell>
          <cell r="L372">
            <v>1250</v>
          </cell>
          <cell r="M372">
            <v>1250</v>
          </cell>
          <cell r="N372">
            <v>1250</v>
          </cell>
          <cell r="O372">
            <v>1250</v>
          </cell>
          <cell r="P372">
            <v>1250</v>
          </cell>
          <cell r="Q372">
            <v>1250</v>
          </cell>
          <cell r="S372">
            <v>15000</v>
          </cell>
        </row>
        <row r="373"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S373">
            <v>0</v>
          </cell>
        </row>
        <row r="374">
          <cell r="F374"/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S374">
            <v>0</v>
          </cell>
        </row>
        <row r="375"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S375">
            <v>0</v>
          </cell>
        </row>
        <row r="376">
          <cell r="F376"/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S376">
            <v>0</v>
          </cell>
        </row>
        <row r="377">
          <cell r="F377"/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S377">
            <v>0</v>
          </cell>
        </row>
        <row r="378">
          <cell r="F378"/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S378">
            <v>0</v>
          </cell>
        </row>
        <row r="379"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S379"/>
        </row>
        <row r="380"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S380"/>
        </row>
        <row r="381">
          <cell r="S381">
            <v>0</v>
          </cell>
        </row>
        <row r="382">
          <cell r="F382"/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S382">
            <v>0</v>
          </cell>
        </row>
        <row r="383">
          <cell r="F383"/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S383">
            <v>0</v>
          </cell>
        </row>
        <row r="384"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S384">
            <v>0</v>
          </cell>
        </row>
        <row r="386"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96">
          <cell r="F396">
            <v>23804.363732603029</v>
          </cell>
          <cell r="G396">
            <v>43336.836556115188</v>
          </cell>
          <cell r="H396">
            <v>75869.309379627346</v>
          </cell>
          <cell r="I396">
            <v>177508.58220313949</v>
          </cell>
          <cell r="J396">
            <v>276700.16902665159</v>
          </cell>
          <cell r="K396">
            <v>116402.02485016367</v>
          </cell>
          <cell r="L396">
            <v>142828.93017367576</v>
          </cell>
          <cell r="M396">
            <v>184253.03549718787</v>
          </cell>
          <cell r="N396">
            <v>227274.64082069998</v>
          </cell>
          <cell r="O396">
            <v>242870.66544421209</v>
          </cell>
          <cell r="P396">
            <v>343936.29006772419</v>
          </cell>
          <cell r="Q396">
            <v>392718.3146912363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7D92-D2F6-4AA8-80EE-26483D905DDA}">
  <sheetPr>
    <tabColor rgb="FF0070C0"/>
  </sheetPr>
  <dimension ref="A1:AB408"/>
  <sheetViews>
    <sheetView showGridLines="0" tabSelected="1" zoomScaleNormal="100" workbookViewId="0">
      <pane xSplit="4" ySplit="2" topLeftCell="F205" activePane="bottomRight" state="frozen"/>
      <selection pane="topRight" activeCell="E1" sqref="E1"/>
      <selection pane="bottomLeft" activeCell="A3" sqref="A3"/>
      <selection pane="bottomRight" activeCell="I8" sqref="I8"/>
    </sheetView>
  </sheetViews>
  <sheetFormatPr defaultColWidth="8.88671875" defaultRowHeight="10.199999999999999" outlineLevelRow="1" x14ac:dyDescent="0.2"/>
  <cols>
    <col min="1" max="1" width="1.6640625" style="1" customWidth="1"/>
    <col min="2" max="2" width="9.88671875" style="2" bestFit="1" customWidth="1"/>
    <col min="3" max="3" width="7.33203125" style="3" customWidth="1"/>
    <col min="4" max="4" width="33.21875" style="1" customWidth="1"/>
    <col min="5" max="5" width="3.88671875" style="2" hidden="1" customWidth="1"/>
    <col min="6" max="6" width="10.6640625" style="4" bestFit="1" customWidth="1"/>
    <col min="7" max="7" width="9.44140625" style="4" bestFit="1" customWidth="1"/>
    <col min="8" max="13" width="10.6640625" style="1" bestFit="1" customWidth="1"/>
    <col min="14" max="14" width="9.44140625" style="1" bestFit="1" customWidth="1"/>
    <col min="15" max="17" width="10.6640625" style="1" bestFit="1" customWidth="1"/>
    <col min="18" max="18" width="0.5546875" style="1" customWidth="1"/>
    <col min="19" max="19" width="12.109375" style="5" bestFit="1" customWidth="1"/>
    <col min="20" max="20" width="15.5546875" style="6" bestFit="1" customWidth="1"/>
    <col min="21" max="21" width="0.44140625" style="1" customWidth="1"/>
    <col min="22" max="22" width="8.88671875" style="7"/>
    <col min="23" max="23" width="8.88671875" style="8"/>
    <col min="24" max="16384" width="8.88671875" style="1"/>
  </cols>
  <sheetData>
    <row r="1" spans="1:23" ht="1.95" customHeight="1" x14ac:dyDescent="0.2"/>
    <row r="2" spans="1:23" ht="30.6" customHeight="1" x14ac:dyDescent="0.2">
      <c r="A2" s="9"/>
      <c r="B2" s="131" t="s">
        <v>0</v>
      </c>
      <c r="C2" s="132"/>
      <c r="D2" s="10" t="s">
        <v>1</v>
      </c>
      <c r="E2" s="11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13</v>
      </c>
      <c r="Q2" s="12" t="s">
        <v>14</v>
      </c>
      <c r="S2" s="133" t="s">
        <v>15</v>
      </c>
      <c r="T2" s="134"/>
    </row>
    <row r="3" spans="1:23" s="20" customFormat="1" ht="25.95" customHeight="1" x14ac:dyDescent="0.25">
      <c r="A3" s="13"/>
      <c r="B3" s="14">
        <v>3</v>
      </c>
      <c r="C3" s="15" t="s">
        <v>16</v>
      </c>
      <c r="D3" s="16"/>
      <c r="E3" s="14"/>
      <c r="F3" s="17">
        <f t="shared" ref="F3:Q3" si="0">+F4+F26+F35</f>
        <v>1161574.1754947517</v>
      </c>
      <c r="G3" s="17">
        <f t="shared" si="0"/>
        <v>980438.38123450149</v>
      </c>
      <c r="H3" s="17">
        <f t="shared" si="0"/>
        <v>1051539.5009742514</v>
      </c>
      <c r="I3" s="17">
        <f t="shared" si="0"/>
        <v>1045147.4207140015</v>
      </c>
      <c r="J3" s="17">
        <f t="shared" si="0"/>
        <v>1031698.5404537516</v>
      </c>
      <c r="K3" s="17">
        <f t="shared" si="0"/>
        <v>988807.73019350157</v>
      </c>
      <c r="L3" s="17">
        <f t="shared" si="0"/>
        <v>980358.84993325162</v>
      </c>
      <c r="M3" s="17">
        <f t="shared" si="0"/>
        <v>1066109.9696730017</v>
      </c>
      <c r="N3" s="17">
        <f t="shared" si="0"/>
        <v>990001.08941275161</v>
      </c>
      <c r="O3" s="17">
        <f t="shared" si="0"/>
        <v>985012.20915250166</v>
      </c>
      <c r="P3" s="17">
        <f t="shared" si="0"/>
        <v>1086801.7288922516</v>
      </c>
      <c r="Q3" s="17">
        <f t="shared" si="0"/>
        <v>1041069.2486320016</v>
      </c>
      <c r="R3" s="18"/>
      <c r="S3" s="17">
        <f t="shared" ref="S3:S41" si="1">SUM(F3:R3)</f>
        <v>12408558.844760517</v>
      </c>
      <c r="T3" s="19">
        <f>+T4+T26+T35</f>
        <v>0.99999999999999989</v>
      </c>
      <c r="V3" s="21">
        <f>S3-[1]FPG!S3-'[1]C.E.'!S3</f>
        <v>0</v>
      </c>
      <c r="W3" s="22">
        <f>S3-7325641-5082918</f>
        <v>-0.15523948334157467</v>
      </c>
    </row>
    <row r="4" spans="1:23" x14ac:dyDescent="0.2">
      <c r="A4" s="9"/>
      <c r="B4" s="23" t="s">
        <v>17</v>
      </c>
      <c r="C4" s="24" t="s">
        <v>18</v>
      </c>
      <c r="D4" s="25"/>
      <c r="E4" s="23"/>
      <c r="F4" s="26">
        <f t="shared" ref="F4:Q4" si="2">SUM(F5:F25)</f>
        <v>972250.0614947516</v>
      </c>
      <c r="G4" s="26">
        <f t="shared" si="2"/>
        <v>977438.38123450149</v>
      </c>
      <c r="H4" s="26">
        <f t="shared" si="2"/>
        <v>956489.50097425154</v>
      </c>
      <c r="I4" s="26">
        <f t="shared" si="2"/>
        <v>1027147.4207140015</v>
      </c>
      <c r="J4" s="26">
        <f t="shared" si="2"/>
        <v>1028698.5404537516</v>
      </c>
      <c r="K4" s="26">
        <f t="shared" si="2"/>
        <v>975807.73019350157</v>
      </c>
      <c r="L4" s="26">
        <f t="shared" si="2"/>
        <v>977358.84993325162</v>
      </c>
      <c r="M4" s="26">
        <f t="shared" si="2"/>
        <v>978909.96967300167</v>
      </c>
      <c r="N4" s="26">
        <f t="shared" si="2"/>
        <v>980461.08941275161</v>
      </c>
      <c r="O4" s="26">
        <f t="shared" si="2"/>
        <v>982012.20915250166</v>
      </c>
      <c r="P4" s="26">
        <f t="shared" si="2"/>
        <v>1083801.7288922516</v>
      </c>
      <c r="Q4" s="26">
        <f t="shared" si="2"/>
        <v>1038069.2486320016</v>
      </c>
      <c r="R4" s="27"/>
      <c r="S4" s="28">
        <f t="shared" si="1"/>
        <v>11978444.730760517</v>
      </c>
      <c r="T4" s="29">
        <f>S4/$S$3</f>
        <v>0.96533730311625876</v>
      </c>
      <c r="V4" s="21">
        <f>S4-[1]FPG!S4-'[1]C.E.'!S4</f>
        <v>0</v>
      </c>
      <c r="W4" s="22"/>
    </row>
    <row r="5" spans="1:23" outlineLevel="1" x14ac:dyDescent="0.2">
      <c r="A5" s="9"/>
      <c r="B5" s="30"/>
      <c r="C5" s="31">
        <v>300000</v>
      </c>
      <c r="D5" s="32" t="s">
        <v>19</v>
      </c>
      <c r="E5" s="33"/>
      <c r="F5" s="34">
        <f>[1]FPG!F5+'[1]C.E.'!F5+[1]SAP!F5</f>
        <v>0</v>
      </c>
      <c r="G5" s="34">
        <f>[1]FPG!G5+'[1]C.E.'!G5+[1]SAP!G5</f>
        <v>0</v>
      </c>
      <c r="H5" s="34">
        <f>[1]FPG!H5+'[1]C.E.'!H5+[1]SAP!H5</f>
        <v>0</v>
      </c>
      <c r="I5" s="34">
        <f>[1]FPG!I5+'[1]C.E.'!I5+[1]SAP!I5</f>
        <v>0</v>
      </c>
      <c r="J5" s="34">
        <f>[1]FPG!J5+'[1]C.E.'!J5+[1]SAP!J5</f>
        <v>0</v>
      </c>
      <c r="K5" s="34">
        <f>[1]FPG!K5+'[1]C.E.'!K5+[1]SAP!K5</f>
        <v>0</v>
      </c>
      <c r="L5" s="34">
        <f>[1]FPG!L5+'[1]C.E.'!L5+[1]SAP!L5</f>
        <v>0</v>
      </c>
      <c r="M5" s="34">
        <f>[1]FPG!M5+'[1]C.E.'!M5+[1]SAP!M5</f>
        <v>0</v>
      </c>
      <c r="N5" s="34">
        <f>[1]FPG!N5+'[1]C.E.'!N5+[1]SAP!N5</f>
        <v>0</v>
      </c>
      <c r="O5" s="34">
        <f>[1]FPG!O5+'[1]C.E.'!O5+[1]SAP!O5</f>
        <v>0</v>
      </c>
      <c r="P5" s="34">
        <f>[1]FPG!P5+'[1]C.E.'!P5+[1]SAP!P5</f>
        <v>0</v>
      </c>
      <c r="Q5" s="34">
        <f>[1]FPG!Q5+'[1]C.E.'!Q5+[1]SAP!Q5</f>
        <v>0</v>
      </c>
      <c r="R5" s="27"/>
      <c r="S5" s="35">
        <f t="shared" si="1"/>
        <v>0</v>
      </c>
      <c r="T5" s="36">
        <f t="shared" ref="T5:T25" si="3">S5/$S$3</f>
        <v>0</v>
      </c>
      <c r="V5" s="21">
        <f>S5-[1]FPG!S5-'[1]C.E.'!S5</f>
        <v>0</v>
      </c>
      <c r="W5" s="22"/>
    </row>
    <row r="6" spans="1:23" outlineLevel="1" x14ac:dyDescent="0.2">
      <c r="A6" s="9"/>
      <c r="B6" s="30"/>
      <c r="C6" s="31">
        <v>300001</v>
      </c>
      <c r="D6" s="37" t="s">
        <v>20</v>
      </c>
      <c r="E6" s="33"/>
      <c r="F6" s="34">
        <f>[1]FPG!F6+'[1]C.E.'!F6+[1]SAP!F6</f>
        <v>14921.4</v>
      </c>
      <c r="G6" s="34">
        <f>[1]FPG!G6+'[1]C.E.'!G6+[1]SAP!G6</f>
        <v>14921.4</v>
      </c>
      <c r="H6" s="34">
        <f>[1]FPG!H6+'[1]C.E.'!H6+[1]SAP!H6</f>
        <v>14921.4</v>
      </c>
      <c r="I6" s="34">
        <f>[1]FPG!I6+'[1]C.E.'!I6+[1]SAP!I6</f>
        <v>14921.4</v>
      </c>
      <c r="J6" s="34">
        <f>[1]FPG!J6+'[1]C.E.'!J6+[1]SAP!J6</f>
        <v>14921.4</v>
      </c>
      <c r="K6" s="34">
        <f>[1]FPG!K6+'[1]C.E.'!K6+[1]SAP!K6</f>
        <v>15037.470000000001</v>
      </c>
      <c r="L6" s="34">
        <f>[1]FPG!L6+'[1]C.E.'!L6+[1]SAP!L6</f>
        <v>15037.470000000001</v>
      </c>
      <c r="M6" s="34">
        <f>[1]FPG!M6+'[1]C.E.'!M6+[1]SAP!M6</f>
        <v>15037.470000000001</v>
      </c>
      <c r="N6" s="34">
        <f>[1]FPG!N6+'[1]C.E.'!N6+[1]SAP!N6</f>
        <v>15037.470000000001</v>
      </c>
      <c r="O6" s="34">
        <f>[1]FPG!O6+'[1]C.E.'!O6+[1]SAP!O6</f>
        <v>15037.470000000001</v>
      </c>
      <c r="P6" s="34">
        <f>[1]FPG!P6+'[1]C.E.'!P6+[1]SAP!P6</f>
        <v>15037.470000000001</v>
      </c>
      <c r="Q6" s="34">
        <f>[1]FPG!Q6+'[1]C.E.'!Q6+[1]SAP!Q6</f>
        <v>15037.470000000001</v>
      </c>
      <c r="R6" s="27"/>
      <c r="S6" s="35">
        <f t="shared" si="1"/>
        <v>179869.29</v>
      </c>
      <c r="T6" s="36">
        <f t="shared" si="3"/>
        <v>1.4495582625693022E-2</v>
      </c>
      <c r="V6" s="21">
        <f>S6-[1]FPG!S6-'[1]C.E.'!S6</f>
        <v>0</v>
      </c>
      <c r="W6" s="22"/>
    </row>
    <row r="7" spans="1:23" outlineLevel="1" x14ac:dyDescent="0.2">
      <c r="A7" s="9"/>
      <c r="B7" s="30"/>
      <c r="C7" s="31">
        <v>300002</v>
      </c>
      <c r="D7" s="38" t="s">
        <v>21</v>
      </c>
      <c r="E7" s="33"/>
      <c r="F7" s="34">
        <f>[1]FPG!F7+'[1]C.E.'!F7+[1]SAP!F7</f>
        <v>10857.283830750001</v>
      </c>
      <c r="G7" s="34">
        <f>[1]FPG!G7+'[1]C.E.'!G7+[1]SAP!G7</f>
        <v>10857.283830750001</v>
      </c>
      <c r="H7" s="34">
        <f>[1]FPG!H7+'[1]C.E.'!H7+[1]SAP!H7</f>
        <v>10857.283830750001</v>
      </c>
      <c r="I7" s="34">
        <f>[1]FPG!I7+'[1]C.E.'!I7+[1]SAP!I7</f>
        <v>10857.283830750001</v>
      </c>
      <c r="J7" s="34">
        <f>[1]FPG!J7+'[1]C.E.'!J7+[1]SAP!J7</f>
        <v>10857.283830750001</v>
      </c>
      <c r="K7" s="34">
        <f>[1]FPG!K7+'[1]C.E.'!K7+[1]SAP!K7</f>
        <v>10857.283830750001</v>
      </c>
      <c r="L7" s="34">
        <f>[1]FPG!L7+'[1]C.E.'!L7+[1]SAP!L7</f>
        <v>10857.283830750001</v>
      </c>
      <c r="M7" s="34">
        <f>[1]FPG!M7+'[1]C.E.'!M7+[1]SAP!M7</f>
        <v>10857.283830750001</v>
      </c>
      <c r="N7" s="34">
        <f>[1]FPG!N7+'[1]C.E.'!N7+[1]SAP!N7</f>
        <v>10857.283830750001</v>
      </c>
      <c r="O7" s="34">
        <f>[1]FPG!O7+'[1]C.E.'!O7+[1]SAP!O7</f>
        <v>10857.283830750001</v>
      </c>
      <c r="P7" s="34">
        <f>[1]FPG!P7+'[1]C.E.'!P7+[1]SAP!P7</f>
        <v>10857.283830750001</v>
      </c>
      <c r="Q7" s="34">
        <f>[1]FPG!Q7+'[1]C.E.'!Q7+[1]SAP!Q7</f>
        <v>10857.283830750001</v>
      </c>
      <c r="R7" s="27"/>
      <c r="S7" s="35">
        <f t="shared" si="1"/>
        <v>130287.40596900003</v>
      </c>
      <c r="T7" s="36">
        <f t="shared" si="3"/>
        <v>1.0499801596541855E-2</v>
      </c>
      <c r="V7" s="21">
        <f>S7-[1]FPG!S7-'[1]C.E.'!S7</f>
        <v>0</v>
      </c>
      <c r="W7" s="22"/>
    </row>
    <row r="8" spans="1:23" outlineLevel="1" x14ac:dyDescent="0.2">
      <c r="A8" s="9"/>
      <c r="B8" s="30"/>
      <c r="C8" s="31">
        <v>300003</v>
      </c>
      <c r="D8" s="38" t="s">
        <v>22</v>
      </c>
      <c r="E8" s="33"/>
      <c r="F8" s="34">
        <f>[1]FPG!F8+'[1]C.E.'!F8+[1]SAP!F8</f>
        <v>51296.720523515221</v>
      </c>
      <c r="G8" s="34">
        <f>[1]FPG!G8+'[1]C.E.'!G8+[1]SAP!G8</f>
        <v>51296.720523515221</v>
      </c>
      <c r="H8" s="34">
        <f>[1]FPG!H8+'[1]C.E.'!H8+[1]SAP!H8</f>
        <v>51296.720523515221</v>
      </c>
      <c r="I8" s="34">
        <f>[1]FPG!I8+'[1]C.E.'!I8+[1]SAP!I8</f>
        <v>51296.720523515221</v>
      </c>
      <c r="J8" s="34">
        <f>[1]FPG!J8+'[1]C.E.'!J8+[1]SAP!J8</f>
        <v>51296.720523515221</v>
      </c>
      <c r="K8" s="34">
        <f>[1]FPG!K8+'[1]C.E.'!K8+[1]SAP!K8</f>
        <v>51296.720523515221</v>
      </c>
      <c r="L8" s="34">
        <f>[1]FPG!L8+'[1]C.E.'!L8+[1]SAP!L8</f>
        <v>51296.720523515221</v>
      </c>
      <c r="M8" s="34">
        <f>[1]FPG!M8+'[1]C.E.'!M8+[1]SAP!M8</f>
        <v>51296.720523515221</v>
      </c>
      <c r="N8" s="34">
        <f>[1]FPG!N8+'[1]C.E.'!N8+[1]SAP!N8</f>
        <v>51296.720523515221</v>
      </c>
      <c r="O8" s="34">
        <f>[1]FPG!O8+'[1]C.E.'!O8+[1]SAP!O8</f>
        <v>51296.720523515221</v>
      </c>
      <c r="P8" s="34">
        <f>[1]FPG!P8+'[1]C.E.'!P8+[1]SAP!P8</f>
        <v>51296.720523515221</v>
      </c>
      <c r="Q8" s="34">
        <f>[1]FPG!Q8+'[1]C.E.'!Q8+[1]SAP!Q8</f>
        <v>51296.720523515221</v>
      </c>
      <c r="R8" s="27"/>
      <c r="S8" s="35">
        <f t="shared" si="1"/>
        <v>615560.64628218277</v>
      </c>
      <c r="T8" s="36">
        <f t="shared" si="3"/>
        <v>4.9607746877237215E-2</v>
      </c>
      <c r="V8" s="21">
        <f>S8-[1]FPG!S8-'[1]C.E.'!S8</f>
        <v>0</v>
      </c>
      <c r="W8" s="22"/>
    </row>
    <row r="9" spans="1:23" outlineLevel="1" x14ac:dyDescent="0.2">
      <c r="A9" s="9"/>
      <c r="B9" s="30"/>
      <c r="C9" s="31">
        <v>300004</v>
      </c>
      <c r="D9" s="37" t="s">
        <v>23</v>
      </c>
      <c r="E9" s="33"/>
      <c r="F9" s="34">
        <f>[1]FPG!F9+'[1]C.E.'!F9+[1]SAP!F9</f>
        <v>430837.10308800003</v>
      </c>
      <c r="G9" s="34">
        <f>[1]FPG!G9+'[1]C.E.'!G9+[1]SAP!G9</f>
        <v>432231.39792000002</v>
      </c>
      <c r="H9" s="34">
        <f>[1]FPG!H9+'[1]C.E.'!H9+[1]SAP!H9</f>
        <v>433625.692752</v>
      </c>
      <c r="I9" s="34">
        <f>[1]FPG!I9+'[1]C.E.'!I9+[1]SAP!I9</f>
        <v>435019.98758399999</v>
      </c>
      <c r="J9" s="34">
        <f>[1]FPG!J9+'[1]C.E.'!J9+[1]SAP!J9</f>
        <v>436414.28241600003</v>
      </c>
      <c r="K9" s="34">
        <f>[1]FPG!K9+'[1]C.E.'!K9+[1]SAP!K9</f>
        <v>437808.57724800002</v>
      </c>
      <c r="L9" s="34">
        <f>[1]FPG!L9+'[1]C.E.'!L9+[1]SAP!L9</f>
        <v>439202.87208</v>
      </c>
      <c r="M9" s="34">
        <f>[1]FPG!M9+'[1]C.E.'!M9+[1]SAP!M9</f>
        <v>440597.16691200004</v>
      </c>
      <c r="N9" s="34">
        <f>[1]FPG!N9+'[1]C.E.'!N9+[1]SAP!N9</f>
        <v>441991.46174400003</v>
      </c>
      <c r="O9" s="34">
        <f>[1]FPG!O9+'[1]C.E.'!O9+[1]SAP!O9</f>
        <v>443385.75657600001</v>
      </c>
      <c r="P9" s="34">
        <f>[1]FPG!P9+'[1]C.E.'!P9+[1]SAP!P9</f>
        <v>444780.051408</v>
      </c>
      <c r="Q9" s="34">
        <f>[1]FPG!Q9+'[1]C.E.'!Q9+[1]SAP!Q9</f>
        <v>446174.34624000004</v>
      </c>
      <c r="R9" s="27"/>
      <c r="S9" s="35">
        <f t="shared" si="1"/>
        <v>5262068.6959680002</v>
      </c>
      <c r="T9" s="36">
        <f t="shared" si="3"/>
        <v>0.4240676747235555</v>
      </c>
      <c r="V9" s="21">
        <f>S9-[1]FPG!S9-'[1]C.E.'!S9</f>
        <v>0</v>
      </c>
      <c r="W9" s="22"/>
    </row>
    <row r="10" spans="1:23" ht="20.399999999999999" outlineLevel="1" x14ac:dyDescent="0.2">
      <c r="A10" s="9"/>
      <c r="B10" s="30"/>
      <c r="C10" s="39">
        <v>300005</v>
      </c>
      <c r="D10" s="40" t="s">
        <v>24</v>
      </c>
      <c r="E10" s="33"/>
      <c r="F10" s="34">
        <f>[1]FPG!F10+'[1]C.E.'!F10+[1]SAP!F10</f>
        <v>49358.025965850007</v>
      </c>
      <c r="G10" s="34">
        <f>[1]FPG!G10+'[1]C.E.'!G10+[1]SAP!G10</f>
        <v>49514.850873600008</v>
      </c>
      <c r="H10" s="34">
        <f>[1]FPG!H10+'[1]C.E.'!H10+[1]SAP!H10</f>
        <v>49671.675781350008</v>
      </c>
      <c r="I10" s="34">
        <f>[1]FPG!I10+'[1]C.E.'!I10+[1]SAP!I10</f>
        <v>49828.500689100008</v>
      </c>
      <c r="J10" s="34">
        <f>[1]FPG!J10+'[1]C.E.'!J10+[1]SAP!J10</f>
        <v>49985.325596850002</v>
      </c>
      <c r="K10" s="34">
        <f>[1]FPG!K10+'[1]C.E.'!K10+[1]SAP!K10</f>
        <v>50142.150504600002</v>
      </c>
      <c r="L10" s="34">
        <f>[1]FPG!L10+'[1]C.E.'!L10+[1]SAP!L10</f>
        <v>50298.975412350002</v>
      </c>
      <c r="M10" s="34">
        <f>[1]FPG!M10+'[1]C.E.'!M10+[1]SAP!M10</f>
        <v>50455.800320100003</v>
      </c>
      <c r="N10" s="34">
        <f>[1]FPG!N10+'[1]C.E.'!N10+[1]SAP!N10</f>
        <v>50612.625227850003</v>
      </c>
      <c r="O10" s="34">
        <f>[1]FPG!O10+'[1]C.E.'!O10+[1]SAP!O10</f>
        <v>50769.450135600004</v>
      </c>
      <c r="P10" s="34">
        <f>[1]FPG!P10+'[1]C.E.'!P10+[1]SAP!P10</f>
        <v>50926.275043350004</v>
      </c>
      <c r="Q10" s="34">
        <f>[1]FPG!Q10+'[1]C.E.'!Q10+[1]SAP!Q10</f>
        <v>51083.099951100005</v>
      </c>
      <c r="R10" s="27"/>
      <c r="S10" s="35">
        <f t="shared" si="1"/>
        <v>602646.75550169998</v>
      </c>
      <c r="T10" s="36">
        <f t="shared" si="3"/>
        <v>4.8567022411000298E-2</v>
      </c>
      <c r="V10" s="21">
        <f>S10-[1]FPG!S10-'[1]C.E.'!S10</f>
        <v>0</v>
      </c>
      <c r="W10" s="22"/>
    </row>
    <row r="11" spans="1:23" outlineLevel="1" x14ac:dyDescent="0.2">
      <c r="A11" s="9"/>
      <c r="B11" s="30"/>
      <c r="C11" s="31">
        <v>300006</v>
      </c>
      <c r="D11" s="37" t="s">
        <v>25</v>
      </c>
      <c r="E11" s="33"/>
      <c r="F11" s="34">
        <f>[1]FPG!F11+'[1]C.E.'!F11+[1]SAP!F11</f>
        <v>198469.31718727274</v>
      </c>
      <c r="G11" s="34">
        <f>[1]FPG!G11+'[1]C.E.'!G11+[1]SAP!G11</f>
        <v>198469.31718727274</v>
      </c>
      <c r="H11" s="34">
        <f>[1]FPG!H11+'[1]C.E.'!H11+[1]SAP!H11</f>
        <v>198469.31718727274</v>
      </c>
      <c r="I11" s="34">
        <f>[1]FPG!I11+'[1]C.E.'!I11+[1]SAP!I11</f>
        <v>198469.31718727274</v>
      </c>
      <c r="J11" s="34">
        <f>[1]FPG!J11+'[1]C.E.'!J11+[1]SAP!J11</f>
        <v>198469.31718727274</v>
      </c>
      <c r="K11" s="34">
        <f>[1]FPG!K11+'[1]C.E.'!K11+[1]SAP!K11</f>
        <v>198469.31718727274</v>
      </c>
      <c r="L11" s="34">
        <f>[1]FPG!L11+'[1]C.E.'!L11+[1]SAP!L11</f>
        <v>198469.31718727274</v>
      </c>
      <c r="M11" s="34">
        <f>[1]FPG!M11+'[1]C.E.'!M11+[1]SAP!M11</f>
        <v>198469.31718727274</v>
      </c>
      <c r="N11" s="34">
        <f>[1]FPG!N11+'[1]C.E.'!N11+[1]SAP!N11</f>
        <v>198469.31718727274</v>
      </c>
      <c r="O11" s="34">
        <f>[1]FPG!O11+'[1]C.E.'!O11+[1]SAP!O11</f>
        <v>198469.31718727274</v>
      </c>
      <c r="P11" s="34">
        <f>[1]FPG!P11+'[1]C.E.'!P11+[1]SAP!P11</f>
        <v>198469.31718727274</v>
      </c>
      <c r="Q11" s="34">
        <f>[1]FPG!Q11+'[1]C.E.'!Q11+[1]SAP!Q11</f>
        <v>198469.31718727274</v>
      </c>
      <c r="R11" s="27"/>
      <c r="S11" s="35">
        <f t="shared" si="1"/>
        <v>2381631.806247273</v>
      </c>
      <c r="T11" s="36">
        <f t="shared" si="3"/>
        <v>0.19193460224052619</v>
      </c>
      <c r="V11" s="21">
        <f>S11-[1]FPG!S11-'[1]C.E.'!S11</f>
        <v>0</v>
      </c>
      <c r="W11" s="22"/>
    </row>
    <row r="12" spans="1:23" outlineLevel="1" x14ac:dyDescent="0.2">
      <c r="A12" s="9"/>
      <c r="B12" s="30"/>
      <c r="C12" s="31">
        <v>300007</v>
      </c>
      <c r="D12" s="37" t="s">
        <v>26</v>
      </c>
      <c r="E12" s="33"/>
      <c r="F12" s="34">
        <f>[1]FPG!F12+'[1]C.E.'!F12+[1]SAP!F12</f>
        <v>70200.936240272727</v>
      </c>
      <c r="G12" s="34">
        <f>[1]FPG!G12+'[1]C.E.'!G12+[1]SAP!G12</f>
        <v>70200.936240272727</v>
      </c>
      <c r="H12" s="34">
        <f>[1]FPG!H12+'[1]C.E.'!H12+[1]SAP!H12</f>
        <v>70200.936240272727</v>
      </c>
      <c r="I12" s="34">
        <f>[1]FPG!I12+'[1]C.E.'!I12+[1]SAP!I12</f>
        <v>70200.936240272727</v>
      </c>
      <c r="J12" s="34">
        <f>[1]FPG!J12+'[1]C.E.'!J12+[1]SAP!J12</f>
        <v>70200.936240272727</v>
      </c>
      <c r="K12" s="34">
        <f>[1]FPG!K12+'[1]C.E.'!K12+[1]SAP!K12</f>
        <v>70200.936240272727</v>
      </c>
      <c r="L12" s="34">
        <f>[1]FPG!L12+'[1]C.E.'!L12+[1]SAP!L12</f>
        <v>70200.936240272727</v>
      </c>
      <c r="M12" s="34">
        <f>[1]FPG!M12+'[1]C.E.'!M12+[1]SAP!M12</f>
        <v>70200.936240272727</v>
      </c>
      <c r="N12" s="34">
        <f>[1]FPG!N12+'[1]C.E.'!N12+[1]SAP!N12</f>
        <v>70200.936240272727</v>
      </c>
      <c r="O12" s="34">
        <f>[1]FPG!O12+'[1]C.E.'!O12+[1]SAP!O12</f>
        <v>70200.936240272727</v>
      </c>
      <c r="P12" s="34">
        <f>[1]FPG!P12+'[1]C.E.'!P12+[1]SAP!P12</f>
        <v>70200.936240272727</v>
      </c>
      <c r="Q12" s="34">
        <f>[1]FPG!Q12+'[1]C.E.'!Q12+[1]SAP!Q12</f>
        <v>70200.936240272727</v>
      </c>
      <c r="R12" s="27"/>
      <c r="S12" s="35">
        <f t="shared" si="1"/>
        <v>842411.23488327267</v>
      </c>
      <c r="T12" s="36">
        <f t="shared" si="3"/>
        <v>6.7889530558899569E-2</v>
      </c>
      <c r="V12" s="21">
        <f>S12-[1]FPG!S12-'[1]C.E.'!S12</f>
        <v>0</v>
      </c>
      <c r="W12" s="22"/>
    </row>
    <row r="13" spans="1:23" outlineLevel="1" x14ac:dyDescent="0.2">
      <c r="A13" s="9"/>
      <c r="B13" s="30"/>
      <c r="C13" s="31">
        <v>300008</v>
      </c>
      <c r="D13" s="37" t="s">
        <v>27</v>
      </c>
      <c r="E13" s="33"/>
      <c r="F13" s="34">
        <f>[1]FPG!F13+'[1]C.E.'!F13+[1]SAP!F13</f>
        <v>73021.674659090902</v>
      </c>
      <c r="G13" s="34">
        <f>[1]FPG!G13+'[1]C.E.'!G13+[1]SAP!G13</f>
        <v>73021.674659090902</v>
      </c>
      <c r="H13" s="34">
        <f>[1]FPG!H13+'[1]C.E.'!H13+[1]SAP!H13</f>
        <v>73021.674659090902</v>
      </c>
      <c r="I13" s="34">
        <f>[1]FPG!I13+'[1]C.E.'!I13+[1]SAP!I13</f>
        <v>73021.674659090902</v>
      </c>
      <c r="J13" s="34">
        <f>[1]FPG!J13+'[1]C.E.'!J13+[1]SAP!J13</f>
        <v>73021.674659090902</v>
      </c>
      <c r="K13" s="34">
        <f>[1]FPG!K13+'[1]C.E.'!K13+[1]SAP!K13</f>
        <v>73021.674659090902</v>
      </c>
      <c r="L13" s="34">
        <f>[1]FPG!L13+'[1]C.E.'!L13+[1]SAP!L13</f>
        <v>73021.674659090902</v>
      </c>
      <c r="M13" s="34">
        <f>[1]FPG!M13+'[1]C.E.'!M13+[1]SAP!M13</f>
        <v>73021.674659090902</v>
      </c>
      <c r="N13" s="34">
        <f>[1]FPG!N13+'[1]C.E.'!N13+[1]SAP!N13</f>
        <v>73021.674659090902</v>
      </c>
      <c r="O13" s="34">
        <f>[1]FPG!O13+'[1]C.E.'!O13+[1]SAP!O13</f>
        <v>73021.674659090902</v>
      </c>
      <c r="P13" s="34">
        <f>[1]FPG!P13+'[1]C.E.'!P13+[1]SAP!P13</f>
        <v>73021.674659090902</v>
      </c>
      <c r="Q13" s="34">
        <f>[1]FPG!Q13+'[1]C.E.'!Q13+[1]SAP!Q13</f>
        <v>73021.674659090902</v>
      </c>
      <c r="R13" s="27"/>
      <c r="S13" s="35">
        <f t="shared" si="1"/>
        <v>876260.09590909106</v>
      </c>
      <c r="T13" s="36">
        <f t="shared" si="3"/>
        <v>7.0617394563840891E-2</v>
      </c>
      <c r="V13" s="21">
        <f>S13-[1]FPG!S13-'[1]C.E.'!S13</f>
        <v>0</v>
      </c>
      <c r="W13" s="22"/>
    </row>
    <row r="14" spans="1:23" outlineLevel="1" x14ac:dyDescent="0.2">
      <c r="A14" s="9"/>
      <c r="B14" s="30"/>
      <c r="C14" s="31">
        <v>300009</v>
      </c>
      <c r="D14" s="37" t="s">
        <v>28</v>
      </c>
      <c r="E14" s="33"/>
      <c r="F14" s="34">
        <f>[1]FPG!F14+'[1]C.E.'!F14+[1]SAP!F14</f>
        <v>0</v>
      </c>
      <c r="G14" s="34">
        <f>[1]FPG!G14+'[1]C.E.'!G14+[1]SAP!G14</f>
        <v>3637.2000000000003</v>
      </c>
      <c r="H14" s="34">
        <f>[1]FPG!H14+'[1]C.E.'!H14+[1]SAP!H14</f>
        <v>3637.2000000000003</v>
      </c>
      <c r="I14" s="34">
        <f>[1]FPG!I14+'[1]C.E.'!I14+[1]SAP!I14</f>
        <v>72744</v>
      </c>
      <c r="J14" s="34">
        <f>[1]FPG!J14+'[1]C.E.'!J14+[1]SAP!J14</f>
        <v>72744</v>
      </c>
      <c r="K14" s="34">
        <f>[1]FPG!K14+'[1]C.E.'!K14+[1]SAP!K14</f>
        <v>18186</v>
      </c>
      <c r="L14" s="34">
        <f>[1]FPG!L14+'[1]C.E.'!L14+[1]SAP!L14</f>
        <v>18186</v>
      </c>
      <c r="M14" s="34">
        <f>[1]FPG!M14+'[1]C.E.'!M14+[1]SAP!M14</f>
        <v>18186</v>
      </c>
      <c r="N14" s="34">
        <f>[1]FPG!N14+'[1]C.E.'!N14+[1]SAP!N14</f>
        <v>18186</v>
      </c>
      <c r="O14" s="34">
        <f>[1]FPG!O14+'[1]C.E.'!O14+[1]SAP!O14</f>
        <v>18186</v>
      </c>
      <c r="P14" s="34">
        <f>[1]FPG!P14+'[1]C.E.'!P14+[1]SAP!P14</f>
        <v>83655.600000000006</v>
      </c>
      <c r="Q14" s="34">
        <f>[1]FPG!Q14+'[1]C.E.'!Q14+[1]SAP!Q14</f>
        <v>36372</v>
      </c>
      <c r="R14" s="27"/>
      <c r="S14" s="35">
        <f t="shared" si="1"/>
        <v>363720</v>
      </c>
      <c r="T14" s="36">
        <f t="shared" si="3"/>
        <v>2.9312026041894451E-2</v>
      </c>
      <c r="V14" s="21">
        <f>S14-[1]FPG!S14-'[1]C.E.'!S14</f>
        <v>0</v>
      </c>
      <c r="W14" s="22"/>
    </row>
    <row r="15" spans="1:23" hidden="1" outlineLevel="1" x14ac:dyDescent="0.2">
      <c r="A15" s="9"/>
      <c r="B15" s="30"/>
      <c r="C15" s="31">
        <v>300010</v>
      </c>
      <c r="D15" s="37" t="s">
        <v>29</v>
      </c>
      <c r="E15" s="33"/>
      <c r="F15" s="34">
        <f>[1]FPG!F15+'[1]C.E.'!F15+[1]SAP!F15</f>
        <v>0</v>
      </c>
      <c r="G15" s="34">
        <f>[1]FPG!G15+'[1]C.E.'!G15+[1]SAP!G15</f>
        <v>0</v>
      </c>
      <c r="H15" s="34">
        <f>[1]FPG!H15+'[1]C.E.'!H15+[1]SAP!H15</f>
        <v>0</v>
      </c>
      <c r="I15" s="34">
        <f>[1]FPG!I15+'[1]C.E.'!I15+[1]SAP!I15</f>
        <v>0</v>
      </c>
      <c r="J15" s="34">
        <f>[1]FPG!J15+'[1]C.E.'!J15+[1]SAP!J15</f>
        <v>0</v>
      </c>
      <c r="K15" s="34">
        <f>[1]FPG!K15+'[1]C.E.'!K15+[1]SAP!K15</f>
        <v>0</v>
      </c>
      <c r="L15" s="34">
        <f>[1]FPG!L15+'[1]C.E.'!L15+[1]SAP!L15</f>
        <v>0</v>
      </c>
      <c r="M15" s="34">
        <f>[1]FPG!M15+'[1]C.E.'!M15+[1]SAP!M15</f>
        <v>0</v>
      </c>
      <c r="N15" s="34">
        <f>[1]FPG!N15+'[1]C.E.'!N15+[1]SAP!N15</f>
        <v>0</v>
      </c>
      <c r="O15" s="34">
        <f>[1]FPG!O15+'[1]C.E.'!O15+[1]SAP!O15</f>
        <v>0</v>
      </c>
      <c r="P15" s="34">
        <f>[1]FPG!P15+'[1]C.E.'!P15+[1]SAP!P15</f>
        <v>0</v>
      </c>
      <c r="Q15" s="34">
        <f>[1]FPG!Q15+'[1]C.E.'!Q15+[1]SAP!Q15</f>
        <v>0</v>
      </c>
      <c r="R15" s="27"/>
      <c r="S15" s="41">
        <f t="shared" si="1"/>
        <v>0</v>
      </c>
      <c r="T15" s="36">
        <f t="shared" si="3"/>
        <v>0</v>
      </c>
      <c r="V15" s="21">
        <f>S15-[1]FPG!S15-'[1]C.E.'!S15</f>
        <v>0</v>
      </c>
      <c r="W15" s="22"/>
    </row>
    <row r="16" spans="1:23" hidden="1" outlineLevel="1" x14ac:dyDescent="0.2">
      <c r="A16" s="9"/>
      <c r="B16" s="30"/>
      <c r="C16" s="31">
        <v>300011</v>
      </c>
      <c r="D16" s="37" t="s">
        <v>30</v>
      </c>
      <c r="E16" s="33"/>
      <c r="F16" s="34">
        <f>[1]FPG!F16+'[1]C.E.'!F16+[1]SAP!F16</f>
        <v>0</v>
      </c>
      <c r="G16" s="34">
        <f>[1]FPG!G16+'[1]C.E.'!G16+[1]SAP!G16</f>
        <v>0</v>
      </c>
      <c r="H16" s="34">
        <f>[1]FPG!H16+'[1]C.E.'!H16+[1]SAP!H16</f>
        <v>0</v>
      </c>
      <c r="I16" s="34">
        <f>[1]FPG!I16+'[1]C.E.'!I16+[1]SAP!I16</f>
        <v>0</v>
      </c>
      <c r="J16" s="34">
        <f>[1]FPG!J16+'[1]C.E.'!J16+[1]SAP!J16</f>
        <v>0</v>
      </c>
      <c r="K16" s="34">
        <f>[1]FPG!K16+'[1]C.E.'!K16+[1]SAP!K16</f>
        <v>0</v>
      </c>
      <c r="L16" s="34">
        <f>[1]FPG!L16+'[1]C.E.'!L16+[1]SAP!L16</f>
        <v>0</v>
      </c>
      <c r="M16" s="34">
        <f>[1]FPG!M16+'[1]C.E.'!M16+[1]SAP!M16</f>
        <v>0</v>
      </c>
      <c r="N16" s="34">
        <f>[1]FPG!N16+'[1]C.E.'!N16+[1]SAP!N16</f>
        <v>0</v>
      </c>
      <c r="O16" s="34">
        <f>[1]FPG!O16+'[1]C.E.'!O16+[1]SAP!O16</f>
        <v>0</v>
      </c>
      <c r="P16" s="34">
        <f>[1]FPG!P16+'[1]C.E.'!P16+[1]SAP!P16</f>
        <v>0</v>
      </c>
      <c r="Q16" s="34">
        <f>[1]FPG!Q16+'[1]C.E.'!Q16+[1]SAP!Q16</f>
        <v>0</v>
      </c>
      <c r="R16" s="27"/>
      <c r="S16" s="41">
        <f t="shared" si="1"/>
        <v>0</v>
      </c>
      <c r="T16" s="36">
        <f t="shared" si="3"/>
        <v>0</v>
      </c>
      <c r="V16" s="21">
        <f>S16-[1]FPG!S16-'[1]C.E.'!S16</f>
        <v>0</v>
      </c>
      <c r="W16" s="22"/>
    </row>
    <row r="17" spans="1:23" hidden="1" outlineLevel="1" x14ac:dyDescent="0.2">
      <c r="A17" s="9"/>
      <c r="B17" s="30"/>
      <c r="C17" s="31">
        <v>300030</v>
      </c>
      <c r="D17" s="37" t="s">
        <v>31</v>
      </c>
      <c r="E17" s="33"/>
      <c r="F17" s="34">
        <f>[1]FPG!F17+'[1]C.E.'!F17+[1]SAP!F17</f>
        <v>0</v>
      </c>
      <c r="G17" s="34">
        <f>[1]FPG!G17+'[1]C.E.'!G17+[1]SAP!G17</f>
        <v>0</v>
      </c>
      <c r="H17" s="34">
        <f>[1]FPG!H17+'[1]C.E.'!H17+[1]SAP!H17</f>
        <v>0</v>
      </c>
      <c r="I17" s="34">
        <f>[1]FPG!I17+'[1]C.E.'!I17+[1]SAP!I17</f>
        <v>0</v>
      </c>
      <c r="J17" s="34">
        <f>[1]FPG!J17+'[1]C.E.'!J17+[1]SAP!J17</f>
        <v>0</v>
      </c>
      <c r="K17" s="34">
        <f>[1]FPG!K17+'[1]C.E.'!K17+[1]SAP!K17</f>
        <v>0</v>
      </c>
      <c r="L17" s="34">
        <f>[1]FPG!L17+'[1]C.E.'!L17+[1]SAP!L17</f>
        <v>0</v>
      </c>
      <c r="M17" s="34">
        <f>[1]FPG!M17+'[1]C.E.'!M17+[1]SAP!M17</f>
        <v>0</v>
      </c>
      <c r="N17" s="34">
        <f>[1]FPG!N17+'[1]C.E.'!N17+[1]SAP!N17</f>
        <v>0</v>
      </c>
      <c r="O17" s="34">
        <f>[1]FPG!O17+'[1]C.E.'!O17+[1]SAP!O17</f>
        <v>0</v>
      </c>
      <c r="P17" s="34">
        <f>[1]FPG!P17+'[1]C.E.'!P17+[1]SAP!P17</f>
        <v>0</v>
      </c>
      <c r="Q17" s="34">
        <f>[1]FPG!Q17+'[1]C.E.'!Q17+[1]SAP!Q17</f>
        <v>0</v>
      </c>
      <c r="R17" s="27"/>
      <c r="S17" s="41">
        <f t="shared" si="1"/>
        <v>0</v>
      </c>
      <c r="T17" s="36">
        <f t="shared" si="3"/>
        <v>0</v>
      </c>
      <c r="V17" s="21">
        <f>S17-[1]FPG!S17-'[1]C.E.'!S17</f>
        <v>0</v>
      </c>
      <c r="W17" s="22"/>
    </row>
    <row r="18" spans="1:23" outlineLevel="1" x14ac:dyDescent="0.2">
      <c r="A18" s="9"/>
      <c r="B18" s="30"/>
      <c r="C18" s="39">
        <v>300031</v>
      </c>
      <c r="D18" s="42" t="s">
        <v>32</v>
      </c>
      <c r="E18" s="33"/>
      <c r="F18" s="34">
        <f>[1]FPG!F18+'[1]C.E.'!F18+[1]SAP!F18</f>
        <v>24537.599999999999</v>
      </c>
      <c r="G18" s="34">
        <f>[1]FPG!G18+'[1]C.E.'!G18+[1]SAP!G18</f>
        <v>24537.599999999999</v>
      </c>
      <c r="H18" s="34">
        <f>[1]FPG!H18+'[1]C.E.'!H18+[1]SAP!H18</f>
        <v>24537.599999999999</v>
      </c>
      <c r="I18" s="34">
        <f>[1]FPG!I18+'[1]C.E.'!I18+[1]SAP!I18</f>
        <v>24537.599999999999</v>
      </c>
      <c r="J18" s="34">
        <f>[1]FPG!J18+'[1]C.E.'!J18+[1]SAP!J18</f>
        <v>24537.599999999999</v>
      </c>
      <c r="K18" s="34">
        <f>[1]FPG!K18+'[1]C.E.'!K18+[1]SAP!K18</f>
        <v>24537.599999999999</v>
      </c>
      <c r="L18" s="34">
        <f>[1]FPG!L18+'[1]C.E.'!L18+[1]SAP!L18</f>
        <v>24537.599999999999</v>
      </c>
      <c r="M18" s="34">
        <f>[1]FPG!M18+'[1]C.E.'!M18+[1]SAP!M18</f>
        <v>24537.599999999999</v>
      </c>
      <c r="N18" s="34">
        <f>[1]FPG!N18+'[1]C.E.'!N18+[1]SAP!N18</f>
        <v>24537.599999999999</v>
      </c>
      <c r="O18" s="34">
        <f>[1]FPG!O18+'[1]C.E.'!O18+[1]SAP!O18</f>
        <v>24537.599999999999</v>
      </c>
      <c r="P18" s="34">
        <f>[1]FPG!P18+'[1]C.E.'!P18+[1]SAP!P18</f>
        <v>36806.400000000001</v>
      </c>
      <c r="Q18" s="34">
        <f>[1]FPG!Q18+'[1]C.E.'!Q18+[1]SAP!Q18</f>
        <v>36806.400000000001</v>
      </c>
      <c r="R18" s="27"/>
      <c r="S18" s="35">
        <f t="shared" si="1"/>
        <v>318988.80000000005</v>
      </c>
      <c r="T18" s="36">
        <f t="shared" si="3"/>
        <v>2.5707159388190539E-2</v>
      </c>
      <c r="V18" s="21">
        <f>S18-[1]FPG!S18-'[1]C.E.'!S18</f>
        <v>0</v>
      </c>
      <c r="W18" s="22"/>
    </row>
    <row r="19" spans="1:23" hidden="1" outlineLevel="1" x14ac:dyDescent="0.2">
      <c r="A19" s="9"/>
      <c r="B19" s="30"/>
      <c r="C19" s="31">
        <v>300032</v>
      </c>
      <c r="D19" s="37" t="s">
        <v>33</v>
      </c>
      <c r="E19" s="33"/>
      <c r="F19" s="34">
        <f>[1]FPG!F19+'[1]C.E.'!F19+[1]SAP!F19</f>
        <v>0</v>
      </c>
      <c r="G19" s="34">
        <f>[1]FPG!G19+'[1]C.E.'!G19+[1]SAP!G19</f>
        <v>0</v>
      </c>
      <c r="H19" s="34">
        <f>[1]FPG!H19+'[1]C.E.'!H19+[1]SAP!H19</f>
        <v>0</v>
      </c>
      <c r="I19" s="34">
        <f>[1]FPG!I19+'[1]C.E.'!I19+[1]SAP!I19</f>
        <v>0</v>
      </c>
      <c r="J19" s="34">
        <f>[1]FPG!J19+'[1]C.E.'!J19+[1]SAP!J19</f>
        <v>0</v>
      </c>
      <c r="K19" s="34">
        <f>[1]FPG!K19+'[1]C.E.'!K19+[1]SAP!K19</f>
        <v>0</v>
      </c>
      <c r="L19" s="34">
        <f>[1]FPG!L19+'[1]C.E.'!L19+[1]SAP!L19</f>
        <v>0</v>
      </c>
      <c r="M19" s="34">
        <f>[1]FPG!M19+'[1]C.E.'!M19+[1]SAP!M19</f>
        <v>0</v>
      </c>
      <c r="N19" s="34">
        <f>[1]FPG!N19+'[1]C.E.'!N19+[1]SAP!N19</f>
        <v>0</v>
      </c>
      <c r="O19" s="34">
        <f>[1]FPG!O19+'[1]C.E.'!O19+[1]SAP!O19</f>
        <v>0</v>
      </c>
      <c r="P19" s="34">
        <f>[1]FPG!P19+'[1]C.E.'!P19+[1]SAP!P19</f>
        <v>0</v>
      </c>
      <c r="Q19" s="34">
        <f>[1]FPG!Q19+'[1]C.E.'!Q19+[1]SAP!Q19</f>
        <v>0</v>
      </c>
      <c r="R19" s="27"/>
      <c r="S19" s="41">
        <f t="shared" si="1"/>
        <v>0</v>
      </c>
      <c r="T19" s="36">
        <f t="shared" si="3"/>
        <v>0</v>
      </c>
      <c r="V19" s="21">
        <f>S19-[1]FPG!S19-'[1]C.E.'!S19</f>
        <v>0</v>
      </c>
      <c r="W19" s="22"/>
    </row>
    <row r="20" spans="1:23" outlineLevel="1" x14ac:dyDescent="0.2">
      <c r="A20" s="9"/>
      <c r="B20" s="30"/>
      <c r="C20" s="39">
        <v>300033</v>
      </c>
      <c r="D20" s="42" t="s">
        <v>34</v>
      </c>
      <c r="E20" s="33"/>
      <c r="F20" s="34">
        <f>[1]FPG!F20+'[1]C.E.'!F20+[1]SAP!F20</f>
        <v>25000</v>
      </c>
      <c r="G20" s="34">
        <f>[1]FPG!G20+'[1]C.E.'!G20+[1]SAP!G20</f>
        <v>25000</v>
      </c>
      <c r="H20" s="34">
        <f>[1]FPG!H20+'[1]C.E.'!H20+[1]SAP!H20</f>
        <v>2500</v>
      </c>
      <c r="I20" s="34">
        <f>[1]FPG!I20+'[1]C.E.'!I20+[1]SAP!I20</f>
        <v>2500</v>
      </c>
      <c r="J20" s="34">
        <f>[1]FPG!J20+'[1]C.E.'!J20+[1]SAP!J20</f>
        <v>2500</v>
      </c>
      <c r="K20" s="34">
        <f>[1]FPG!K20+'[1]C.E.'!K20+[1]SAP!K20</f>
        <v>2500</v>
      </c>
      <c r="L20" s="34">
        <f>[1]FPG!L20+'[1]C.E.'!L20+[1]SAP!L20</f>
        <v>2500</v>
      </c>
      <c r="M20" s="34">
        <f>[1]FPG!M20+'[1]C.E.'!M20+[1]SAP!M20</f>
        <v>2500</v>
      </c>
      <c r="N20" s="34">
        <f>[1]FPG!N20+'[1]C.E.'!N20+[1]SAP!N20</f>
        <v>2500</v>
      </c>
      <c r="O20" s="34">
        <f>[1]FPG!O20+'[1]C.E.'!O20+[1]SAP!O20</f>
        <v>2500</v>
      </c>
      <c r="P20" s="34">
        <f>[1]FPG!P20+'[1]C.E.'!P20+[1]SAP!P20</f>
        <v>25000</v>
      </c>
      <c r="Q20" s="34">
        <f>[1]FPG!Q20+'[1]C.E.'!Q20+[1]SAP!Q20</f>
        <v>25000</v>
      </c>
      <c r="R20" s="27"/>
      <c r="S20" s="35">
        <f t="shared" si="1"/>
        <v>120000</v>
      </c>
      <c r="T20" s="36">
        <f t="shared" si="3"/>
        <v>9.6707443226309638E-3</v>
      </c>
      <c r="V20" s="21">
        <f>S20-[1]FPG!S20-'[1]C.E.'!S20</f>
        <v>0</v>
      </c>
      <c r="W20" s="22"/>
    </row>
    <row r="21" spans="1:23" hidden="1" outlineLevel="1" x14ac:dyDescent="0.2">
      <c r="A21" s="9"/>
      <c r="B21" s="30"/>
      <c r="C21" s="43">
        <v>300034</v>
      </c>
      <c r="D21" s="38" t="s">
        <v>35</v>
      </c>
      <c r="E21" s="33"/>
      <c r="F21" s="34">
        <f>[1]FPG!F21+'[1]C.E.'!F21+[1]SAP!F21</f>
        <v>0</v>
      </c>
      <c r="G21" s="34">
        <f>[1]FPG!G21+'[1]C.E.'!G21+[1]SAP!G21</f>
        <v>0</v>
      </c>
      <c r="H21" s="34">
        <f>[1]FPG!H21+'[1]C.E.'!H21+[1]SAP!H21</f>
        <v>0</v>
      </c>
      <c r="I21" s="34">
        <f>[1]FPG!I21+'[1]C.E.'!I21+[1]SAP!I21</f>
        <v>0</v>
      </c>
      <c r="J21" s="34">
        <f>[1]FPG!J21+'[1]C.E.'!J21+[1]SAP!J21</f>
        <v>0</v>
      </c>
      <c r="K21" s="34">
        <f>[1]FPG!K21+'[1]C.E.'!K21+[1]SAP!K21</f>
        <v>0</v>
      </c>
      <c r="L21" s="34">
        <f>[1]FPG!L21+'[1]C.E.'!L21+[1]SAP!L21</f>
        <v>0</v>
      </c>
      <c r="M21" s="34">
        <f>[1]FPG!M21+'[1]C.E.'!M21+[1]SAP!M21</f>
        <v>0</v>
      </c>
      <c r="N21" s="34">
        <f>[1]FPG!N21+'[1]C.E.'!N21+[1]SAP!N21</f>
        <v>0</v>
      </c>
      <c r="O21" s="34">
        <f>[1]FPG!O21+'[1]C.E.'!O21+[1]SAP!O21</f>
        <v>0</v>
      </c>
      <c r="P21" s="34">
        <f>[1]FPG!P21+'[1]C.E.'!P21+[1]SAP!P21</f>
        <v>0</v>
      </c>
      <c r="Q21" s="34">
        <f>[1]FPG!Q21+'[1]C.E.'!Q21+[1]SAP!Q21</f>
        <v>0</v>
      </c>
      <c r="R21" s="27"/>
      <c r="S21" s="41">
        <f t="shared" si="1"/>
        <v>0</v>
      </c>
      <c r="T21" s="36">
        <f t="shared" si="3"/>
        <v>0</v>
      </c>
      <c r="V21" s="21">
        <f>S21-[1]FPG!S21-'[1]C.E.'!S21</f>
        <v>0</v>
      </c>
      <c r="W21" s="22"/>
    </row>
    <row r="22" spans="1:23" outlineLevel="1" x14ac:dyDescent="0.2">
      <c r="A22" s="9"/>
      <c r="B22" s="30"/>
      <c r="C22" s="43">
        <v>400285</v>
      </c>
      <c r="D22" s="38" t="s">
        <v>36</v>
      </c>
      <c r="E22" s="33"/>
      <c r="F22" s="34">
        <f>[1]FPG!F22+'[1]C.E.'!F22+[1]SAP!F22</f>
        <v>3000</v>
      </c>
      <c r="G22" s="34">
        <f>[1]FPG!G22+'[1]C.E.'!G22+[1]SAP!G22</f>
        <v>3000</v>
      </c>
      <c r="H22" s="34">
        <f>[1]FPG!H22+'[1]C.E.'!H22+[1]SAP!H22</f>
        <v>3000</v>
      </c>
      <c r="I22" s="34">
        <f>[1]FPG!I22+'[1]C.E.'!I22+[1]SAP!I22</f>
        <v>3000</v>
      </c>
      <c r="J22" s="34">
        <f>[1]FPG!J22+'[1]C.E.'!J22+[1]SAP!J22</f>
        <v>3000</v>
      </c>
      <c r="K22" s="34">
        <f>[1]FPG!K22+'[1]C.E.'!K22+[1]SAP!K22</f>
        <v>3000</v>
      </c>
      <c r="L22" s="34">
        <f>[1]FPG!L22+'[1]C.E.'!L22+[1]SAP!L22</f>
        <v>3000</v>
      </c>
      <c r="M22" s="34">
        <f>[1]FPG!M22+'[1]C.E.'!M22+[1]SAP!M22</f>
        <v>3000</v>
      </c>
      <c r="N22" s="34">
        <f>[1]FPG!N22+'[1]C.E.'!N22+[1]SAP!N22</f>
        <v>3000</v>
      </c>
      <c r="O22" s="34">
        <f>[1]FPG!O22+'[1]C.E.'!O22+[1]SAP!O22</f>
        <v>3000</v>
      </c>
      <c r="P22" s="34">
        <f>[1]FPG!P22+'[1]C.E.'!P22+[1]SAP!P22</f>
        <v>3000</v>
      </c>
      <c r="Q22" s="34">
        <f>[1]FPG!Q22+'[1]C.E.'!Q22+[1]SAP!Q22</f>
        <v>3000</v>
      </c>
      <c r="R22" s="27"/>
      <c r="S22" s="35">
        <f t="shared" si="1"/>
        <v>36000</v>
      </c>
      <c r="T22" s="36">
        <f t="shared" si="3"/>
        <v>2.9012232967892894E-3</v>
      </c>
      <c r="V22" s="21">
        <f>S22-[1]FPG!S22-'[1]C.E.'!S22</f>
        <v>0</v>
      </c>
      <c r="W22" s="22"/>
    </row>
    <row r="23" spans="1:23" outlineLevel="1" x14ac:dyDescent="0.2">
      <c r="A23" s="9"/>
      <c r="B23" s="30"/>
      <c r="C23" s="31">
        <v>300048</v>
      </c>
      <c r="D23" s="37" t="s">
        <v>37</v>
      </c>
      <c r="E23" s="33"/>
      <c r="F23" s="34">
        <f>[1]FPG!F23+'[1]C.E.'!F23+[1]SAP!F23</f>
        <v>12000</v>
      </c>
      <c r="G23" s="34">
        <f>[1]FPG!G23+'[1]C.E.'!G23+[1]SAP!G23</f>
        <v>12000</v>
      </c>
      <c r="H23" s="34">
        <f>[1]FPG!H23+'[1]C.E.'!H23+[1]SAP!H23</f>
        <v>12000</v>
      </c>
      <c r="I23" s="34">
        <f>[1]FPG!I23+'[1]C.E.'!I23+[1]SAP!I23</f>
        <v>12000</v>
      </c>
      <c r="J23" s="34">
        <f>[1]FPG!J23+'[1]C.E.'!J23+[1]SAP!J23</f>
        <v>12000</v>
      </c>
      <c r="K23" s="34">
        <f>[1]FPG!K23+'[1]C.E.'!K23+[1]SAP!K23</f>
        <v>12000</v>
      </c>
      <c r="L23" s="34">
        <f>[1]FPG!L23+'[1]C.E.'!L23+[1]SAP!L23</f>
        <v>12000</v>
      </c>
      <c r="M23" s="34">
        <f>[1]FPG!M23+'[1]C.E.'!M23+[1]SAP!M23</f>
        <v>12000</v>
      </c>
      <c r="N23" s="34">
        <f>[1]FPG!N23+'[1]C.E.'!N23+[1]SAP!N23</f>
        <v>12000</v>
      </c>
      <c r="O23" s="34">
        <f>[1]FPG!O23+'[1]C.E.'!O23+[1]SAP!O23</f>
        <v>12000</v>
      </c>
      <c r="P23" s="34">
        <f>[1]FPG!P23+'[1]C.E.'!P23+[1]SAP!P23</f>
        <v>12000</v>
      </c>
      <c r="Q23" s="34">
        <f>[1]FPG!Q23+'[1]C.E.'!Q23+[1]SAP!Q23</f>
        <v>12000</v>
      </c>
      <c r="R23" s="27"/>
      <c r="S23" s="35">
        <f t="shared" si="1"/>
        <v>144000</v>
      </c>
      <c r="T23" s="36">
        <f t="shared" si="3"/>
        <v>1.1604893187157158E-2</v>
      </c>
      <c r="V23" s="21">
        <f>S23-[1]FPG!S23-'[1]C.E.'!S23</f>
        <v>0</v>
      </c>
      <c r="W23" s="22"/>
    </row>
    <row r="24" spans="1:23" hidden="1" outlineLevel="1" x14ac:dyDescent="0.2">
      <c r="A24" s="9"/>
      <c r="B24" s="30"/>
      <c r="C24" s="43">
        <v>300038</v>
      </c>
      <c r="D24" s="38" t="s">
        <v>38</v>
      </c>
      <c r="E24" s="33"/>
      <c r="F24" s="34">
        <f>[1]FPG!F24+'[1]C.E.'!F24+[1]SAP!F24</f>
        <v>0</v>
      </c>
      <c r="G24" s="34">
        <f>[1]FPG!G24+'[1]C.E.'!G24+[1]SAP!G24</f>
        <v>0</v>
      </c>
      <c r="H24" s="34">
        <f>[1]FPG!H24+'[1]C.E.'!H24+[1]SAP!H24</f>
        <v>0</v>
      </c>
      <c r="I24" s="34">
        <f>[1]FPG!I24+'[1]C.E.'!I24+[1]SAP!I24</f>
        <v>0</v>
      </c>
      <c r="J24" s="34">
        <f>[1]FPG!J24+'[1]C.E.'!J24+[1]SAP!J24</f>
        <v>0</v>
      </c>
      <c r="K24" s="34">
        <f>[1]FPG!K24+'[1]C.E.'!K24+[1]SAP!K24</f>
        <v>0</v>
      </c>
      <c r="L24" s="34">
        <f>[1]FPG!L24+'[1]C.E.'!L24+[1]SAP!L24</f>
        <v>0</v>
      </c>
      <c r="M24" s="34">
        <f>[1]FPG!M24+'[1]C.E.'!M24+[1]SAP!M24</f>
        <v>0</v>
      </c>
      <c r="N24" s="34">
        <f>[1]FPG!N24+'[1]C.E.'!N24+[1]SAP!N24</f>
        <v>0</v>
      </c>
      <c r="O24" s="34">
        <f>[1]FPG!O24+'[1]C.E.'!O24+[1]SAP!O24</f>
        <v>0</v>
      </c>
      <c r="P24" s="34">
        <f>[1]FPG!P24+'[1]C.E.'!P24+[1]SAP!P24</f>
        <v>0</v>
      </c>
      <c r="Q24" s="34">
        <f>[1]FPG!Q24+'[1]C.E.'!Q24+[1]SAP!Q24</f>
        <v>0</v>
      </c>
      <c r="R24" s="27"/>
      <c r="S24" s="41">
        <f t="shared" si="1"/>
        <v>0</v>
      </c>
      <c r="T24" s="36">
        <f t="shared" si="3"/>
        <v>0</v>
      </c>
      <c r="V24" s="21">
        <f>S24-[1]FPG!S24-'[1]C.E.'!S24</f>
        <v>0</v>
      </c>
      <c r="W24" s="22"/>
    </row>
    <row r="25" spans="1:23" outlineLevel="1" x14ac:dyDescent="0.2">
      <c r="A25" s="9"/>
      <c r="B25" s="30"/>
      <c r="C25" s="43">
        <v>300039</v>
      </c>
      <c r="D25" s="44" t="s">
        <v>39</v>
      </c>
      <c r="E25" s="33"/>
      <c r="F25" s="34">
        <f>[1]FPG!F25+'[1]C.E.'!F25+[1]SAP!F25</f>
        <v>8750</v>
      </c>
      <c r="G25" s="34">
        <f>[1]FPG!G25+'[1]C.E.'!G25+[1]SAP!G25</f>
        <v>8750</v>
      </c>
      <c r="H25" s="34">
        <f>[1]FPG!H25+'[1]C.E.'!H25+[1]SAP!H25</f>
        <v>8750</v>
      </c>
      <c r="I25" s="34">
        <f>[1]FPG!I25+'[1]C.E.'!I25+[1]SAP!I25</f>
        <v>8750</v>
      </c>
      <c r="J25" s="34">
        <f>[1]FPG!J25+'[1]C.E.'!J25+[1]SAP!J25</f>
        <v>8750</v>
      </c>
      <c r="K25" s="34">
        <f>[1]FPG!K25+'[1]C.E.'!K25+[1]SAP!K25</f>
        <v>8750</v>
      </c>
      <c r="L25" s="34">
        <f>[1]FPG!L25+'[1]C.E.'!L25+[1]SAP!L25</f>
        <v>8750</v>
      </c>
      <c r="M25" s="34">
        <f>[1]FPG!M25+'[1]C.E.'!M25+[1]SAP!M25</f>
        <v>8750</v>
      </c>
      <c r="N25" s="34">
        <f>[1]FPG!N25+'[1]C.E.'!N25+[1]SAP!N25</f>
        <v>8750</v>
      </c>
      <c r="O25" s="34">
        <f>[1]FPG!O25+'[1]C.E.'!O25+[1]SAP!O25</f>
        <v>8750</v>
      </c>
      <c r="P25" s="34">
        <f>[1]FPG!P25+'[1]C.E.'!P25+[1]SAP!P25</f>
        <v>8750</v>
      </c>
      <c r="Q25" s="34">
        <f>[1]FPG!Q25+'[1]C.E.'!Q25+[1]SAP!Q25</f>
        <v>8750</v>
      </c>
      <c r="R25" s="27"/>
      <c r="S25" s="35">
        <f t="shared" si="1"/>
        <v>105000</v>
      </c>
      <c r="T25" s="36">
        <f t="shared" si="3"/>
        <v>8.461901282302094E-3</v>
      </c>
      <c r="V25" s="21">
        <f>S25-[1]FPG!S25-'[1]C.E.'!S25</f>
        <v>0</v>
      </c>
      <c r="W25" s="22"/>
    </row>
    <row r="26" spans="1:23" x14ac:dyDescent="0.2">
      <c r="A26" s="9"/>
      <c r="B26" s="23" t="s">
        <v>40</v>
      </c>
      <c r="C26" s="24" t="s">
        <v>41</v>
      </c>
      <c r="D26" s="25"/>
      <c r="E26" s="23"/>
      <c r="F26" s="26">
        <f>SUM(F27:F34)</f>
        <v>189324.114</v>
      </c>
      <c r="G26" s="26">
        <f>SUM(G27:G34)</f>
        <v>3000</v>
      </c>
      <c r="H26" s="26">
        <f t="shared" ref="H26:Q26" si="4">SUM(H27:H34)</f>
        <v>91800</v>
      </c>
      <c r="I26" s="26">
        <f t="shared" si="4"/>
        <v>18000</v>
      </c>
      <c r="J26" s="26">
        <f t="shared" si="4"/>
        <v>3000</v>
      </c>
      <c r="K26" s="26">
        <f t="shared" si="4"/>
        <v>13000</v>
      </c>
      <c r="L26" s="26">
        <f t="shared" si="4"/>
        <v>3000</v>
      </c>
      <c r="M26" s="26">
        <f t="shared" si="4"/>
        <v>83000</v>
      </c>
      <c r="N26" s="26">
        <f t="shared" si="4"/>
        <v>3000</v>
      </c>
      <c r="O26" s="26">
        <f t="shared" si="4"/>
        <v>3000</v>
      </c>
      <c r="P26" s="26">
        <f t="shared" si="4"/>
        <v>3000</v>
      </c>
      <c r="Q26" s="26">
        <f t="shared" si="4"/>
        <v>3000</v>
      </c>
      <c r="R26" s="27"/>
      <c r="S26" s="28">
        <f t="shared" si="1"/>
        <v>416124.114</v>
      </c>
      <c r="T26" s="29">
        <f>S26/$S$3</f>
        <v>3.3535249274794503E-2</v>
      </c>
      <c r="V26" s="21">
        <f>S26-[1]FPG!S26-'[1]C.E.'!S26</f>
        <v>0</v>
      </c>
      <c r="W26" s="22"/>
    </row>
    <row r="27" spans="1:23" outlineLevel="1" x14ac:dyDescent="0.2">
      <c r="A27" s="9"/>
      <c r="B27" s="30"/>
      <c r="C27" s="31">
        <v>300012</v>
      </c>
      <c r="D27" s="32" t="s">
        <v>42</v>
      </c>
      <c r="E27" s="33"/>
      <c r="F27" s="34">
        <f>[1]FPG!F27+'[1]C.E.'!F27+[1]SAP!F27</f>
        <v>186324.114</v>
      </c>
      <c r="G27" s="34">
        <f>[1]FPG!G27+'[1]C.E.'!G27+[1]SAP!G27</f>
        <v>0</v>
      </c>
      <c r="H27" s="34">
        <f>[1]FPG!H27+'[1]C.E.'!H27+[1]SAP!H27</f>
        <v>58300</v>
      </c>
      <c r="I27" s="34">
        <f>[1]FPG!I27+'[1]C.E.'!I27+[1]SAP!I27</f>
        <v>0</v>
      </c>
      <c r="J27" s="34">
        <f>[1]FPG!J27+'[1]C.E.'!J27+[1]SAP!J27</f>
        <v>0</v>
      </c>
      <c r="K27" s="34">
        <f>[1]FPG!K27+'[1]C.E.'!K27+[1]SAP!K27</f>
        <v>10000</v>
      </c>
      <c r="L27" s="34">
        <f>[1]FPG!L27+'[1]C.E.'!L27+[1]SAP!L27</f>
        <v>0</v>
      </c>
      <c r="M27" s="34">
        <f>[1]FPG!M27+'[1]C.E.'!M27+[1]SAP!M27</f>
        <v>60000</v>
      </c>
      <c r="N27" s="34">
        <f>[1]FPG!N27+'[1]C.E.'!N27+[1]SAP!N27</f>
        <v>0</v>
      </c>
      <c r="O27" s="34">
        <f>[1]FPG!O27+'[1]C.E.'!O27+[1]SAP!O27</f>
        <v>0</v>
      </c>
      <c r="P27" s="34">
        <f>[1]FPG!P27+'[1]C.E.'!P27+[1]SAP!P27</f>
        <v>0</v>
      </c>
      <c r="Q27" s="34">
        <f>[1]FPG!Q27+'[1]C.E.'!Q27+[1]SAP!Q27</f>
        <v>0</v>
      </c>
      <c r="R27" s="27"/>
      <c r="S27" s="35">
        <f t="shared" si="1"/>
        <v>314624.114</v>
      </c>
      <c r="T27" s="36">
        <f>S27/$S$3</f>
        <v>2.5355411368569142E-2</v>
      </c>
      <c r="V27" s="21">
        <f>S27-[1]FPG!S27-'[1]C.E.'!S27</f>
        <v>0</v>
      </c>
      <c r="W27" s="22"/>
    </row>
    <row r="28" spans="1:23" outlineLevel="1" x14ac:dyDescent="0.2">
      <c r="A28" s="9"/>
      <c r="B28" s="30"/>
      <c r="C28" s="43">
        <v>300013</v>
      </c>
      <c r="D28" s="44" t="s">
        <v>43</v>
      </c>
      <c r="E28" s="33"/>
      <c r="F28" s="34">
        <f>[1]FPG!F28+'[1]C.E.'!F28+[1]SAP!F28</f>
        <v>0</v>
      </c>
      <c r="G28" s="34">
        <f>[1]FPG!G28+'[1]C.E.'!G28+[1]SAP!G28</f>
        <v>0</v>
      </c>
      <c r="H28" s="34">
        <f>[1]FPG!H28+'[1]C.E.'!H28+[1]SAP!H28</f>
        <v>30500</v>
      </c>
      <c r="I28" s="34">
        <f>[1]FPG!I28+'[1]C.E.'!I28+[1]SAP!I28</f>
        <v>15000</v>
      </c>
      <c r="J28" s="34">
        <f>[1]FPG!J28+'[1]C.E.'!J28+[1]SAP!J28</f>
        <v>0</v>
      </c>
      <c r="K28" s="34">
        <f>[1]FPG!K28+'[1]C.E.'!K28+[1]SAP!K28</f>
        <v>0</v>
      </c>
      <c r="L28" s="34">
        <f>[1]FPG!L28+'[1]C.E.'!L28+[1]SAP!L28</f>
        <v>0</v>
      </c>
      <c r="M28" s="34">
        <f>[1]FPG!M28+'[1]C.E.'!M28+[1]SAP!M28</f>
        <v>20000</v>
      </c>
      <c r="N28" s="34">
        <f>[1]FPG!N28+'[1]C.E.'!N28+[1]SAP!N28</f>
        <v>0</v>
      </c>
      <c r="O28" s="34">
        <f>[1]FPG!O28+'[1]C.E.'!O28+[1]SAP!O28</f>
        <v>0</v>
      </c>
      <c r="P28" s="34">
        <f>[1]FPG!P28+'[1]C.E.'!P28+[1]SAP!P28</f>
        <v>0</v>
      </c>
      <c r="Q28" s="34">
        <f>[1]FPG!Q28+'[1]C.E.'!Q28+[1]SAP!Q28</f>
        <v>0</v>
      </c>
      <c r="R28" s="27"/>
      <c r="S28" s="35">
        <f t="shared" si="1"/>
        <v>65500</v>
      </c>
      <c r="T28" s="36">
        <f t="shared" ref="T28:T41" si="5">S28/$S$3</f>
        <v>5.2786146094360676E-3</v>
      </c>
      <c r="V28" s="21">
        <f>S28-[1]FPG!S28-'[1]C.E.'!S28</f>
        <v>0</v>
      </c>
      <c r="W28" s="22"/>
    </row>
    <row r="29" spans="1:23" hidden="1" outlineLevel="1" x14ac:dyDescent="0.2">
      <c r="A29" s="9"/>
      <c r="B29" s="30"/>
      <c r="C29" s="43">
        <v>300014</v>
      </c>
      <c r="D29" s="44" t="s">
        <v>44</v>
      </c>
      <c r="E29" s="33"/>
      <c r="F29" s="34">
        <f>[1]FPG!F29+'[1]C.E.'!F29+[1]SAP!F29</f>
        <v>0</v>
      </c>
      <c r="G29" s="34">
        <f>[1]FPG!G29+'[1]C.E.'!G29+[1]SAP!G29</f>
        <v>0</v>
      </c>
      <c r="H29" s="34">
        <f>[1]FPG!H29+'[1]C.E.'!H29+[1]SAP!H29</f>
        <v>0</v>
      </c>
      <c r="I29" s="34">
        <f>[1]FPG!I29+'[1]C.E.'!I29+[1]SAP!I29</f>
        <v>0</v>
      </c>
      <c r="J29" s="34">
        <f>[1]FPG!J29+'[1]C.E.'!J29+[1]SAP!J29</f>
        <v>0</v>
      </c>
      <c r="K29" s="34">
        <f>[1]FPG!K29+'[1]C.E.'!K29+[1]SAP!K29</f>
        <v>0</v>
      </c>
      <c r="L29" s="34">
        <f>[1]FPG!L29+'[1]C.E.'!L29+[1]SAP!L29</f>
        <v>0</v>
      </c>
      <c r="M29" s="34">
        <f>[1]FPG!M29+'[1]C.E.'!M29+[1]SAP!M29</f>
        <v>0</v>
      </c>
      <c r="N29" s="34">
        <f>[1]FPG!N29+'[1]C.E.'!N29+[1]SAP!N29</f>
        <v>0</v>
      </c>
      <c r="O29" s="34">
        <f>[1]FPG!O29+'[1]C.E.'!O29+[1]SAP!O29</f>
        <v>0</v>
      </c>
      <c r="P29" s="34">
        <f>[1]FPG!P29+'[1]C.E.'!P29+[1]SAP!P29</f>
        <v>0</v>
      </c>
      <c r="Q29" s="34">
        <f>[1]FPG!Q29+'[1]C.E.'!Q29+[1]SAP!Q29</f>
        <v>0</v>
      </c>
      <c r="R29" s="27"/>
      <c r="S29" s="35">
        <f t="shared" si="1"/>
        <v>0</v>
      </c>
      <c r="T29" s="36">
        <f t="shared" si="5"/>
        <v>0</v>
      </c>
      <c r="V29" s="21">
        <f>S29-[1]FPG!S29-'[1]C.E.'!S29</f>
        <v>0</v>
      </c>
      <c r="W29" s="22"/>
    </row>
    <row r="30" spans="1:23" hidden="1" outlineLevel="1" x14ac:dyDescent="0.2">
      <c r="A30" s="9"/>
      <c r="B30" s="30"/>
      <c r="C30" s="43">
        <v>300015</v>
      </c>
      <c r="D30" s="44" t="s">
        <v>45</v>
      </c>
      <c r="E30" s="33"/>
      <c r="F30" s="34">
        <f>[1]FPG!F30+'[1]C.E.'!F30+[1]SAP!F30</f>
        <v>0</v>
      </c>
      <c r="G30" s="34">
        <f>[1]FPG!G30+'[1]C.E.'!G30+[1]SAP!G30</f>
        <v>0</v>
      </c>
      <c r="H30" s="34">
        <f>[1]FPG!H30+'[1]C.E.'!H30+[1]SAP!H30</f>
        <v>0</v>
      </c>
      <c r="I30" s="34">
        <f>[1]FPG!I30+'[1]C.E.'!I30+[1]SAP!I30</f>
        <v>0</v>
      </c>
      <c r="J30" s="34">
        <f>[1]FPG!J30+'[1]C.E.'!J30+[1]SAP!J30</f>
        <v>0</v>
      </c>
      <c r="K30" s="34">
        <f>[1]FPG!K30+'[1]C.E.'!K30+[1]SAP!K30</f>
        <v>0</v>
      </c>
      <c r="L30" s="34">
        <f>[1]FPG!L30+'[1]C.E.'!L30+[1]SAP!L30</f>
        <v>0</v>
      </c>
      <c r="M30" s="34">
        <f>[1]FPG!M30+'[1]C.E.'!M30+[1]SAP!M30</f>
        <v>0</v>
      </c>
      <c r="N30" s="34">
        <f>[1]FPG!N30+'[1]C.E.'!N30+[1]SAP!N30</f>
        <v>0</v>
      </c>
      <c r="O30" s="34">
        <f>[1]FPG!O30+'[1]C.E.'!O30+[1]SAP!O30</f>
        <v>0</v>
      </c>
      <c r="P30" s="34">
        <f>[1]FPG!P30+'[1]C.E.'!P30+[1]SAP!P30</f>
        <v>0</v>
      </c>
      <c r="Q30" s="34">
        <f>[1]FPG!Q30+'[1]C.E.'!Q30+[1]SAP!Q30</f>
        <v>0</v>
      </c>
      <c r="R30" s="27"/>
      <c r="S30" s="35">
        <f t="shared" si="1"/>
        <v>0</v>
      </c>
      <c r="T30" s="36">
        <f t="shared" si="5"/>
        <v>0</v>
      </c>
      <c r="V30" s="21">
        <f>S30-[1]FPG!S30-'[1]C.E.'!S30</f>
        <v>0</v>
      </c>
      <c r="W30" s="22"/>
    </row>
    <row r="31" spans="1:23" hidden="1" outlineLevel="1" x14ac:dyDescent="0.2">
      <c r="A31" s="9"/>
      <c r="B31" s="30"/>
      <c r="C31" s="43">
        <v>300016</v>
      </c>
      <c r="D31" s="44" t="s">
        <v>46</v>
      </c>
      <c r="E31" s="33"/>
      <c r="F31" s="34">
        <f>[1]FPG!F31+'[1]C.E.'!F31+[1]SAP!F31</f>
        <v>0</v>
      </c>
      <c r="G31" s="34">
        <f>[1]FPG!G31+'[1]C.E.'!G31+[1]SAP!G31</f>
        <v>0</v>
      </c>
      <c r="H31" s="34">
        <f>[1]FPG!H31+'[1]C.E.'!H31+[1]SAP!H31</f>
        <v>0</v>
      </c>
      <c r="I31" s="34">
        <f>[1]FPG!I31+'[1]C.E.'!I31+[1]SAP!I31</f>
        <v>0</v>
      </c>
      <c r="J31" s="34">
        <f>[1]FPG!J31+'[1]C.E.'!J31+[1]SAP!J31</f>
        <v>0</v>
      </c>
      <c r="K31" s="34">
        <f>[1]FPG!K31+'[1]C.E.'!K31+[1]SAP!K31</f>
        <v>0</v>
      </c>
      <c r="L31" s="34">
        <f>[1]FPG!L31+'[1]C.E.'!L31+[1]SAP!L31</f>
        <v>0</v>
      </c>
      <c r="M31" s="34">
        <f>[1]FPG!M31+'[1]C.E.'!M31+[1]SAP!M31</f>
        <v>0</v>
      </c>
      <c r="N31" s="34">
        <f>[1]FPG!N31+'[1]C.E.'!N31+[1]SAP!N31</f>
        <v>0</v>
      </c>
      <c r="O31" s="34">
        <f>[1]FPG!O31+'[1]C.E.'!O31+[1]SAP!O31</f>
        <v>0</v>
      </c>
      <c r="P31" s="34">
        <f>[1]FPG!P31+'[1]C.E.'!P31+[1]SAP!P31</f>
        <v>0</v>
      </c>
      <c r="Q31" s="34">
        <f>[1]FPG!Q31+'[1]C.E.'!Q31+[1]SAP!Q31</f>
        <v>0</v>
      </c>
      <c r="R31" s="27"/>
      <c r="S31" s="35">
        <f t="shared" si="1"/>
        <v>0</v>
      </c>
      <c r="T31" s="36">
        <f t="shared" si="5"/>
        <v>0</v>
      </c>
      <c r="V31" s="21">
        <f>S31-[1]FPG!S31-'[1]C.E.'!S31</f>
        <v>0</v>
      </c>
      <c r="W31" s="22"/>
    </row>
    <row r="32" spans="1:23" outlineLevel="1" x14ac:dyDescent="0.2">
      <c r="A32" s="9"/>
      <c r="B32" s="30"/>
      <c r="C32" s="43">
        <v>300017</v>
      </c>
      <c r="D32" s="44" t="s">
        <v>47</v>
      </c>
      <c r="E32" s="33"/>
      <c r="F32" s="34">
        <f>[1]FPG!F32+'[1]C.E.'!F32+[1]SAP!F32</f>
        <v>3000</v>
      </c>
      <c r="G32" s="34">
        <f>[1]FPG!G32+'[1]C.E.'!G32+[1]SAP!G32</f>
        <v>3000</v>
      </c>
      <c r="H32" s="34">
        <f>[1]FPG!H32+'[1]C.E.'!H32+[1]SAP!H32</f>
        <v>3000</v>
      </c>
      <c r="I32" s="34">
        <f>[1]FPG!I32+'[1]C.E.'!I32+[1]SAP!I32</f>
        <v>3000</v>
      </c>
      <c r="J32" s="34">
        <f>[1]FPG!J32+'[1]C.E.'!J32+[1]SAP!J32</f>
        <v>3000</v>
      </c>
      <c r="K32" s="34">
        <f>[1]FPG!K32+'[1]C.E.'!K32+[1]SAP!K32</f>
        <v>3000</v>
      </c>
      <c r="L32" s="34">
        <f>[1]FPG!L32+'[1]C.E.'!L32+[1]SAP!L32</f>
        <v>3000</v>
      </c>
      <c r="M32" s="34">
        <f>[1]FPG!M32+'[1]C.E.'!M32+[1]SAP!M32</f>
        <v>3000</v>
      </c>
      <c r="N32" s="34">
        <f>[1]FPG!N32+'[1]C.E.'!N32+[1]SAP!N32</f>
        <v>3000</v>
      </c>
      <c r="O32" s="34">
        <f>[1]FPG!O32+'[1]C.E.'!O32+[1]SAP!O32</f>
        <v>3000</v>
      </c>
      <c r="P32" s="34">
        <f>[1]FPG!P32+'[1]C.E.'!P32+[1]SAP!P32</f>
        <v>3000</v>
      </c>
      <c r="Q32" s="34">
        <f>[1]FPG!Q32+'[1]C.E.'!Q32+[1]SAP!Q32</f>
        <v>3000</v>
      </c>
      <c r="R32" s="27"/>
      <c r="S32" s="35">
        <f t="shared" si="1"/>
        <v>36000</v>
      </c>
      <c r="T32" s="36">
        <f t="shared" si="5"/>
        <v>2.9012232967892894E-3</v>
      </c>
      <c r="V32" s="21">
        <f>S32-[1]FPG!S32-'[1]C.E.'!S32</f>
        <v>0</v>
      </c>
      <c r="W32" s="22"/>
    </row>
    <row r="33" spans="1:23" hidden="1" outlineLevel="1" x14ac:dyDescent="0.2">
      <c r="A33" s="9"/>
      <c r="B33" s="30"/>
      <c r="C33" s="43">
        <v>300018</v>
      </c>
      <c r="D33" s="44" t="s">
        <v>48</v>
      </c>
      <c r="E33" s="33"/>
      <c r="F33" s="34">
        <f>[1]FPG!F33+'[1]C.E.'!F33+[1]SAP!F33</f>
        <v>0</v>
      </c>
      <c r="G33" s="34">
        <f>[1]FPG!G33+'[1]C.E.'!G33+[1]SAP!G33</f>
        <v>0</v>
      </c>
      <c r="H33" s="34">
        <f>[1]FPG!H33+'[1]C.E.'!H33+[1]SAP!H33</f>
        <v>0</v>
      </c>
      <c r="I33" s="34">
        <f>[1]FPG!I33+'[1]C.E.'!I33+[1]SAP!I33</f>
        <v>0</v>
      </c>
      <c r="J33" s="34">
        <f>[1]FPG!J33+'[1]C.E.'!J33+[1]SAP!J33</f>
        <v>0</v>
      </c>
      <c r="K33" s="34">
        <f>[1]FPG!K33+'[1]C.E.'!K33+[1]SAP!K33</f>
        <v>0</v>
      </c>
      <c r="L33" s="34">
        <f>[1]FPG!L33+'[1]C.E.'!L33+[1]SAP!L33</f>
        <v>0</v>
      </c>
      <c r="M33" s="34">
        <f>[1]FPG!M33+'[1]C.E.'!M33+[1]SAP!M33</f>
        <v>0</v>
      </c>
      <c r="N33" s="34">
        <f>[1]FPG!N33+'[1]C.E.'!N33+[1]SAP!N33</f>
        <v>0</v>
      </c>
      <c r="O33" s="34">
        <f>[1]FPG!O33+'[1]C.E.'!O33+[1]SAP!O33</f>
        <v>0</v>
      </c>
      <c r="P33" s="34">
        <f>[1]FPG!P33+'[1]C.E.'!P33+[1]SAP!P33</f>
        <v>0</v>
      </c>
      <c r="Q33" s="34">
        <f>[1]FPG!Q33+'[1]C.E.'!Q33+[1]SAP!Q33</f>
        <v>0</v>
      </c>
      <c r="R33" s="27"/>
      <c r="S33" s="35">
        <f t="shared" si="1"/>
        <v>0</v>
      </c>
      <c r="T33" s="36">
        <f t="shared" si="5"/>
        <v>0</v>
      </c>
      <c r="V33" s="21">
        <f>S33-[1]FPG!S33-'[1]C.E.'!S33</f>
        <v>0</v>
      </c>
      <c r="W33" s="22"/>
    </row>
    <row r="34" spans="1:23" hidden="1" outlineLevel="1" x14ac:dyDescent="0.2">
      <c r="A34" s="9"/>
      <c r="B34" s="30"/>
      <c r="C34" s="43">
        <v>300029</v>
      </c>
      <c r="D34" s="44" t="s">
        <v>49</v>
      </c>
      <c r="E34" s="33"/>
      <c r="F34" s="34">
        <f>[1]FPG!F34+'[1]C.E.'!F34+[1]SAP!F34</f>
        <v>0</v>
      </c>
      <c r="G34" s="34">
        <f>[1]FPG!G34+'[1]C.E.'!G34+[1]SAP!G34</f>
        <v>0</v>
      </c>
      <c r="H34" s="34">
        <f>[1]FPG!H34+'[1]C.E.'!H34+[1]SAP!H34</f>
        <v>0</v>
      </c>
      <c r="I34" s="34">
        <f>[1]FPG!I34+'[1]C.E.'!I34+[1]SAP!I34</f>
        <v>0</v>
      </c>
      <c r="J34" s="34">
        <f>[1]FPG!J34+'[1]C.E.'!J34+[1]SAP!J34</f>
        <v>0</v>
      </c>
      <c r="K34" s="34">
        <f>[1]FPG!K34+'[1]C.E.'!K34+[1]SAP!K34</f>
        <v>0</v>
      </c>
      <c r="L34" s="34">
        <f>[1]FPG!L34+'[1]C.E.'!L34+[1]SAP!L34</f>
        <v>0</v>
      </c>
      <c r="M34" s="34">
        <f>[1]FPG!M34+'[1]C.E.'!M34+[1]SAP!M34</f>
        <v>0</v>
      </c>
      <c r="N34" s="34">
        <f>[1]FPG!N34+'[1]C.E.'!N34+[1]SAP!N34</f>
        <v>0</v>
      </c>
      <c r="O34" s="34">
        <f>[1]FPG!O34+'[1]C.E.'!O34+[1]SAP!O34</f>
        <v>0</v>
      </c>
      <c r="P34" s="34">
        <f>[1]FPG!P34+'[1]C.E.'!P34+[1]SAP!P34</f>
        <v>0</v>
      </c>
      <c r="Q34" s="34">
        <f>[1]FPG!Q34+'[1]C.E.'!Q34+[1]SAP!Q34</f>
        <v>0</v>
      </c>
      <c r="R34" s="27"/>
      <c r="S34" s="35">
        <f t="shared" si="1"/>
        <v>0</v>
      </c>
      <c r="T34" s="36">
        <f t="shared" si="5"/>
        <v>0</v>
      </c>
      <c r="V34" s="21">
        <f>S34-[1]FPG!S34-'[1]C.E.'!S34</f>
        <v>0</v>
      </c>
      <c r="W34" s="22"/>
    </row>
    <row r="35" spans="1:23" x14ac:dyDescent="0.2">
      <c r="A35" s="9"/>
      <c r="B35" s="23" t="s">
        <v>50</v>
      </c>
      <c r="C35" s="24" t="s">
        <v>51</v>
      </c>
      <c r="D35" s="25"/>
      <c r="E35" s="23"/>
      <c r="F35" s="26">
        <f>SUM(F36:F41)</f>
        <v>0</v>
      </c>
      <c r="G35" s="26">
        <f>SUM(G36:G41)</f>
        <v>0</v>
      </c>
      <c r="H35" s="26">
        <f t="shared" ref="H35:Q35" si="6">SUM(H36:H41)</f>
        <v>3250</v>
      </c>
      <c r="I35" s="26">
        <f t="shared" si="6"/>
        <v>0</v>
      </c>
      <c r="J35" s="26">
        <f t="shared" si="6"/>
        <v>0</v>
      </c>
      <c r="K35" s="26">
        <f t="shared" si="6"/>
        <v>0</v>
      </c>
      <c r="L35" s="26">
        <f t="shared" si="6"/>
        <v>0</v>
      </c>
      <c r="M35" s="26">
        <f t="shared" si="6"/>
        <v>4200</v>
      </c>
      <c r="N35" s="26">
        <f t="shared" si="6"/>
        <v>6540</v>
      </c>
      <c r="O35" s="26">
        <f t="shared" si="6"/>
        <v>0</v>
      </c>
      <c r="P35" s="26">
        <f t="shared" si="6"/>
        <v>0</v>
      </c>
      <c r="Q35" s="26">
        <f t="shared" si="6"/>
        <v>0</v>
      </c>
      <c r="R35" s="27"/>
      <c r="S35" s="28">
        <f t="shared" si="1"/>
        <v>13990</v>
      </c>
      <c r="T35" s="29">
        <f>S35/$S$3</f>
        <v>1.1274476089467265E-3</v>
      </c>
      <c r="V35" s="21">
        <f>S35-[1]FPG!S35-'[1]C.E.'!S35</f>
        <v>0</v>
      </c>
      <c r="W35" s="22"/>
    </row>
    <row r="36" spans="1:23" outlineLevel="1" x14ac:dyDescent="0.2">
      <c r="A36" s="9"/>
      <c r="B36" s="30"/>
      <c r="C36" s="43">
        <v>300040</v>
      </c>
      <c r="D36" s="44" t="s">
        <v>44</v>
      </c>
      <c r="E36" s="33"/>
      <c r="F36" s="34">
        <f>[1]FPG!F36+'[1]C.E.'!F36+[1]SAP!F36</f>
        <v>0</v>
      </c>
      <c r="G36" s="34">
        <f>[1]FPG!G36+'[1]C.E.'!G36+[1]SAP!G36</f>
        <v>0</v>
      </c>
      <c r="H36" s="34">
        <f>[1]FPG!H36+'[1]C.E.'!H36+[1]SAP!H36</f>
        <v>2000</v>
      </c>
      <c r="I36" s="34">
        <f>[1]FPG!I36+'[1]C.E.'!I36+[1]SAP!I36</f>
        <v>0</v>
      </c>
      <c r="J36" s="34">
        <f>[1]FPG!J36+'[1]C.E.'!J36+[1]SAP!J36</f>
        <v>0</v>
      </c>
      <c r="K36" s="34">
        <f>[1]FPG!K36+'[1]C.E.'!K36+[1]SAP!K36</f>
        <v>0</v>
      </c>
      <c r="L36" s="34">
        <f>[1]FPG!L36+'[1]C.E.'!L36+[1]SAP!L36</f>
        <v>0</v>
      </c>
      <c r="M36" s="34">
        <f>[1]FPG!M36+'[1]C.E.'!M36+[1]SAP!M36</f>
        <v>2500</v>
      </c>
      <c r="N36" s="34">
        <f>[1]FPG!N36+'[1]C.E.'!N36+[1]SAP!N36</f>
        <v>4440</v>
      </c>
      <c r="O36" s="34">
        <f>[1]FPG!O36+'[1]C.E.'!O36+[1]SAP!O36</f>
        <v>0</v>
      </c>
      <c r="P36" s="34">
        <f>[1]FPG!P36+'[1]C.E.'!P36+[1]SAP!P36</f>
        <v>0</v>
      </c>
      <c r="Q36" s="34">
        <f>[1]FPG!Q36+'[1]C.E.'!Q36+[1]SAP!Q36</f>
        <v>0</v>
      </c>
      <c r="R36" s="27"/>
      <c r="S36" s="35">
        <f t="shared" si="1"/>
        <v>8940</v>
      </c>
      <c r="T36" s="36">
        <f t="shared" si="5"/>
        <v>7.2047045203600679E-4</v>
      </c>
      <c r="V36" s="21">
        <f>S36-[1]FPG!S36-'[1]C.E.'!S36</f>
        <v>0</v>
      </c>
      <c r="W36" s="22"/>
    </row>
    <row r="37" spans="1:23" outlineLevel="1" x14ac:dyDescent="0.2">
      <c r="A37" s="9"/>
      <c r="B37" s="30"/>
      <c r="C37" s="31">
        <v>300041</v>
      </c>
      <c r="D37" s="32" t="s">
        <v>45</v>
      </c>
      <c r="E37" s="33"/>
      <c r="F37" s="34">
        <f>[1]FPG!F37+'[1]C.E.'!F37+[1]SAP!F37</f>
        <v>0</v>
      </c>
      <c r="G37" s="34">
        <f>[1]FPG!G37+'[1]C.E.'!G37+[1]SAP!G37</f>
        <v>0</v>
      </c>
      <c r="H37" s="34">
        <f>[1]FPG!H37+'[1]C.E.'!H37+[1]SAP!H37</f>
        <v>1250</v>
      </c>
      <c r="I37" s="34">
        <f>[1]FPG!I37+'[1]C.E.'!I37+[1]SAP!I37</f>
        <v>0</v>
      </c>
      <c r="J37" s="34">
        <f>[1]FPG!J37+'[1]C.E.'!J37+[1]SAP!J37</f>
        <v>0</v>
      </c>
      <c r="K37" s="34">
        <f>[1]FPG!K37+'[1]C.E.'!K37+[1]SAP!K37</f>
        <v>0</v>
      </c>
      <c r="L37" s="34">
        <f>[1]FPG!L37+'[1]C.E.'!L37+[1]SAP!L37</f>
        <v>0</v>
      </c>
      <c r="M37" s="34">
        <f>[1]FPG!M37+'[1]C.E.'!M37+[1]SAP!M37</f>
        <v>1700</v>
      </c>
      <c r="N37" s="34">
        <f>[1]FPG!N37+'[1]C.E.'!N37+[1]SAP!N37</f>
        <v>2100</v>
      </c>
      <c r="O37" s="34">
        <f>[1]FPG!O37+'[1]C.E.'!O37+[1]SAP!O37</f>
        <v>0</v>
      </c>
      <c r="P37" s="34">
        <f>[1]FPG!P37+'[1]C.E.'!P37+[1]SAP!P37</f>
        <v>0</v>
      </c>
      <c r="Q37" s="34">
        <f>[1]FPG!Q37+'[1]C.E.'!Q37+[1]SAP!Q37</f>
        <v>0</v>
      </c>
      <c r="R37" s="27"/>
      <c r="S37" s="35">
        <f t="shared" si="1"/>
        <v>5050</v>
      </c>
      <c r="T37" s="36">
        <f t="shared" si="5"/>
        <v>4.0697715691071976E-4</v>
      </c>
      <c r="V37" s="21">
        <f>S37-[1]FPG!S37-'[1]C.E.'!S37</f>
        <v>0</v>
      </c>
      <c r="W37" s="22"/>
    </row>
    <row r="38" spans="1:23" hidden="1" outlineLevel="1" x14ac:dyDescent="0.2">
      <c r="A38" s="9"/>
      <c r="B38" s="30"/>
      <c r="C38" s="31">
        <v>300042</v>
      </c>
      <c r="D38" s="32" t="s">
        <v>46</v>
      </c>
      <c r="E38" s="33"/>
      <c r="F38" s="34">
        <f>[1]FPG!F38+'[1]C.E.'!F38+[1]SAP!F38</f>
        <v>0</v>
      </c>
      <c r="G38" s="34">
        <f>[1]FPG!G38+'[1]C.E.'!G38+[1]SAP!G38</f>
        <v>0</v>
      </c>
      <c r="H38" s="34">
        <f>[1]FPG!H38+'[1]C.E.'!H38+[1]SAP!H38</f>
        <v>0</v>
      </c>
      <c r="I38" s="34">
        <f>[1]FPG!I38+'[1]C.E.'!I38+[1]SAP!I38</f>
        <v>0</v>
      </c>
      <c r="J38" s="34">
        <f>[1]FPG!J38+'[1]C.E.'!J38+[1]SAP!J38</f>
        <v>0</v>
      </c>
      <c r="K38" s="34">
        <f>[1]FPG!K38+'[1]C.E.'!K38+[1]SAP!K38</f>
        <v>0</v>
      </c>
      <c r="L38" s="34">
        <f>[1]FPG!L38+'[1]C.E.'!L38+[1]SAP!L38</f>
        <v>0</v>
      </c>
      <c r="M38" s="34">
        <f>[1]FPG!M38+'[1]C.E.'!M38+[1]SAP!M38</f>
        <v>0</v>
      </c>
      <c r="N38" s="34">
        <f>[1]FPG!N38+'[1]C.E.'!N38+[1]SAP!N38</f>
        <v>0</v>
      </c>
      <c r="O38" s="34">
        <f>[1]FPG!O38+'[1]C.E.'!O38+[1]SAP!O38</f>
        <v>0</v>
      </c>
      <c r="P38" s="34">
        <f>[1]FPG!P38+'[1]C.E.'!P38+[1]SAP!P38</f>
        <v>0</v>
      </c>
      <c r="Q38" s="34">
        <f>[1]FPG!Q38+'[1]C.E.'!Q38+[1]SAP!Q38</f>
        <v>0</v>
      </c>
      <c r="R38" s="27"/>
      <c r="S38" s="35">
        <f t="shared" si="1"/>
        <v>0</v>
      </c>
      <c r="T38" s="36">
        <f t="shared" si="5"/>
        <v>0</v>
      </c>
      <c r="V38" s="21">
        <f>S38-[1]FPG!S38-'[1]C.E.'!S38</f>
        <v>0</v>
      </c>
      <c r="W38" s="22"/>
    </row>
    <row r="39" spans="1:23" hidden="1" outlineLevel="1" x14ac:dyDescent="0.2">
      <c r="A39" s="9"/>
      <c r="B39" s="30"/>
      <c r="C39" s="31">
        <v>300043</v>
      </c>
      <c r="D39" s="32" t="s">
        <v>47</v>
      </c>
      <c r="E39" s="33"/>
      <c r="F39" s="34">
        <f>[1]FPG!F39+'[1]C.E.'!F39+[1]SAP!F39</f>
        <v>0</v>
      </c>
      <c r="G39" s="34">
        <f>[1]FPG!G39+'[1]C.E.'!G39+[1]SAP!G39</f>
        <v>0</v>
      </c>
      <c r="H39" s="34">
        <f>[1]FPG!H39+'[1]C.E.'!H39+[1]SAP!H39</f>
        <v>0</v>
      </c>
      <c r="I39" s="34">
        <f>[1]FPG!I39+'[1]C.E.'!I39+[1]SAP!I39</f>
        <v>0</v>
      </c>
      <c r="J39" s="34">
        <f>[1]FPG!J39+'[1]C.E.'!J39+[1]SAP!J39</f>
        <v>0</v>
      </c>
      <c r="K39" s="34">
        <f>[1]FPG!K39+'[1]C.E.'!K39+[1]SAP!K39</f>
        <v>0</v>
      </c>
      <c r="L39" s="34">
        <f>[1]FPG!L39+'[1]C.E.'!L39+[1]SAP!L39</f>
        <v>0</v>
      </c>
      <c r="M39" s="34">
        <f>[1]FPG!M39+'[1]C.E.'!M39+[1]SAP!M39</f>
        <v>0</v>
      </c>
      <c r="N39" s="34">
        <f>[1]FPG!N39+'[1]C.E.'!N39+[1]SAP!N39</f>
        <v>0</v>
      </c>
      <c r="O39" s="34">
        <f>[1]FPG!O39+'[1]C.E.'!O39+[1]SAP!O39</f>
        <v>0</v>
      </c>
      <c r="P39" s="34">
        <f>[1]FPG!P39+'[1]C.E.'!P39+[1]SAP!P39</f>
        <v>0</v>
      </c>
      <c r="Q39" s="34">
        <f>[1]FPG!Q39+'[1]C.E.'!Q39+[1]SAP!Q39</f>
        <v>0</v>
      </c>
      <c r="R39" s="27"/>
      <c r="S39" s="35">
        <f t="shared" si="1"/>
        <v>0</v>
      </c>
      <c r="T39" s="36">
        <f t="shared" si="5"/>
        <v>0</v>
      </c>
      <c r="V39" s="21">
        <f>S39-[1]FPG!S39-'[1]C.E.'!S39</f>
        <v>0</v>
      </c>
      <c r="W39" s="22"/>
    </row>
    <row r="40" spans="1:23" hidden="1" outlineLevel="1" x14ac:dyDescent="0.2">
      <c r="A40" s="9"/>
      <c r="B40" s="30"/>
      <c r="C40" s="31">
        <v>300044</v>
      </c>
      <c r="D40" s="32" t="s">
        <v>49</v>
      </c>
      <c r="E40" s="33"/>
      <c r="F40" s="34">
        <f>[1]FPG!F40+'[1]C.E.'!F40+[1]SAP!F40</f>
        <v>0</v>
      </c>
      <c r="G40" s="34">
        <f>[1]FPG!G40+'[1]C.E.'!G40+[1]SAP!G40</f>
        <v>0</v>
      </c>
      <c r="H40" s="34">
        <f>[1]FPG!H40+'[1]C.E.'!H40+[1]SAP!H40</f>
        <v>0</v>
      </c>
      <c r="I40" s="34">
        <f>[1]FPG!I40+'[1]C.E.'!I40+[1]SAP!I40</f>
        <v>0</v>
      </c>
      <c r="J40" s="34">
        <f>[1]FPG!J40+'[1]C.E.'!J40+[1]SAP!J40</f>
        <v>0</v>
      </c>
      <c r="K40" s="34">
        <f>[1]FPG!K40+'[1]C.E.'!K40+[1]SAP!K40</f>
        <v>0</v>
      </c>
      <c r="L40" s="34">
        <f>[1]FPG!L40+'[1]C.E.'!L40+[1]SAP!L40</f>
        <v>0</v>
      </c>
      <c r="M40" s="34">
        <f>[1]FPG!M40+'[1]C.E.'!M40+[1]SAP!M40</f>
        <v>0</v>
      </c>
      <c r="N40" s="34">
        <f>[1]FPG!N40+'[1]C.E.'!N40+[1]SAP!N40</f>
        <v>0</v>
      </c>
      <c r="O40" s="34">
        <f>[1]FPG!O40+'[1]C.E.'!O40+[1]SAP!O40</f>
        <v>0</v>
      </c>
      <c r="P40" s="34">
        <f>[1]FPG!P40+'[1]C.E.'!P40+[1]SAP!P40</f>
        <v>0</v>
      </c>
      <c r="Q40" s="34">
        <f>[1]FPG!Q40+'[1]C.E.'!Q40+[1]SAP!Q40</f>
        <v>0</v>
      </c>
      <c r="R40" s="27"/>
      <c r="S40" s="35">
        <f t="shared" si="1"/>
        <v>0</v>
      </c>
      <c r="T40" s="36">
        <f t="shared" si="5"/>
        <v>0</v>
      </c>
      <c r="V40" s="21">
        <f>S40-[1]FPG!S40-'[1]C.E.'!S40</f>
        <v>0</v>
      </c>
      <c r="W40" s="22"/>
    </row>
    <row r="41" spans="1:23" hidden="1" outlineLevel="1" x14ac:dyDescent="0.2">
      <c r="A41" s="9"/>
      <c r="B41" s="30"/>
      <c r="C41" s="31">
        <v>300045</v>
      </c>
      <c r="D41" s="32" t="s">
        <v>52</v>
      </c>
      <c r="E41" s="33"/>
      <c r="F41" s="34">
        <f>[1]FPG!F41+'[1]C.E.'!F41+[1]SAP!F41</f>
        <v>0</v>
      </c>
      <c r="G41" s="34">
        <f>[1]FPG!G41+'[1]C.E.'!G41+[1]SAP!G41</f>
        <v>0</v>
      </c>
      <c r="H41" s="34">
        <f>[1]FPG!H41+'[1]C.E.'!H41+[1]SAP!H41</f>
        <v>0</v>
      </c>
      <c r="I41" s="34">
        <f>[1]FPG!I41+'[1]C.E.'!I41+[1]SAP!I41</f>
        <v>0</v>
      </c>
      <c r="J41" s="34">
        <f>[1]FPG!J41+'[1]C.E.'!J41+[1]SAP!J41</f>
        <v>0</v>
      </c>
      <c r="K41" s="34">
        <f>[1]FPG!K41+'[1]C.E.'!K41+[1]SAP!K41</f>
        <v>0</v>
      </c>
      <c r="L41" s="34">
        <f>[1]FPG!L41+'[1]C.E.'!L41+[1]SAP!L41</f>
        <v>0</v>
      </c>
      <c r="M41" s="34">
        <f>[1]FPG!M41+'[1]C.E.'!M41+[1]SAP!M41</f>
        <v>0</v>
      </c>
      <c r="N41" s="34">
        <f>[1]FPG!N41+'[1]C.E.'!N41+[1]SAP!N41</f>
        <v>0</v>
      </c>
      <c r="O41" s="34">
        <f>[1]FPG!O41+'[1]C.E.'!O41+[1]SAP!O41</f>
        <v>0</v>
      </c>
      <c r="P41" s="34">
        <f>[1]FPG!P41+'[1]C.E.'!P41+[1]SAP!P41</f>
        <v>0</v>
      </c>
      <c r="Q41" s="34">
        <f>[1]FPG!Q41+'[1]C.E.'!Q41+[1]SAP!Q41</f>
        <v>0</v>
      </c>
      <c r="R41" s="27"/>
      <c r="S41" s="35">
        <f t="shared" si="1"/>
        <v>0</v>
      </c>
      <c r="T41" s="36">
        <f t="shared" si="5"/>
        <v>0</v>
      </c>
      <c r="V41" s="21">
        <f>S41-[1]FPG!S41-'[1]C.E.'!S41</f>
        <v>0</v>
      </c>
      <c r="W41" s="22"/>
    </row>
    <row r="42" spans="1:23" ht="5.4" customHeight="1" x14ac:dyDescent="0.2">
      <c r="F42" s="45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27"/>
      <c r="S42" s="46"/>
      <c r="T42" s="47"/>
      <c r="V42" s="21">
        <f>S42-[1]FPG!S42-'[1]C.E.'!S42</f>
        <v>0</v>
      </c>
      <c r="W42" s="22"/>
    </row>
    <row r="43" spans="1:23" s="20" customFormat="1" ht="25.95" customHeight="1" x14ac:dyDescent="0.25">
      <c r="A43" s="13"/>
      <c r="B43" s="14" t="s">
        <v>53</v>
      </c>
      <c r="C43" s="15" t="s">
        <v>54</v>
      </c>
      <c r="D43" s="16"/>
      <c r="E43" s="14"/>
      <c r="F43" s="17">
        <f t="shared" ref="F43:Q43" si="7">+F44+F57+F62+F93+F114+F146+F149+F175+F200+F205+F237+F245+F249+F268+F274+F278+F286+F297+F299+F314+F321+F324+F347+F355+F381</f>
        <v>1081547.7692298403</v>
      </c>
      <c r="G43" s="17">
        <f t="shared" si="7"/>
        <v>827938.66326552187</v>
      </c>
      <c r="H43" s="17">
        <f t="shared" si="7"/>
        <v>937738.66326552175</v>
      </c>
      <c r="I43" s="17">
        <f t="shared" si="7"/>
        <v>1152088.6632655219</v>
      </c>
      <c r="J43" s="17">
        <f t="shared" si="7"/>
        <v>748967.98126552184</v>
      </c>
      <c r="K43" s="17">
        <f t="shared" si="7"/>
        <v>1102736.4822655215</v>
      </c>
      <c r="L43" s="17">
        <f t="shared" si="7"/>
        <v>1130343.3994321886</v>
      </c>
      <c r="M43" s="17">
        <f t="shared" si="7"/>
        <v>945971.19943218853</v>
      </c>
      <c r="N43" s="17">
        <f t="shared" si="7"/>
        <v>930898.69943218853</v>
      </c>
      <c r="O43" s="17">
        <f t="shared" si="7"/>
        <v>1150174.2801321885</v>
      </c>
      <c r="P43" s="17">
        <f t="shared" si="7"/>
        <v>807863.73613218847</v>
      </c>
      <c r="Q43" s="17">
        <f t="shared" si="7"/>
        <v>887863.73613218847</v>
      </c>
      <c r="R43" s="18"/>
      <c r="S43" s="17">
        <f>SUM(F43:R43)</f>
        <v>11704133.27325058</v>
      </c>
      <c r="T43" s="19">
        <f>+T44+T62+T93+T114+T175+T237+T245+T249+T268+T274+T278+T286+T347+T355+T57+T146+T149+T200+T205+T297+T299+T314+T321+T324+T381</f>
        <v>0.99999999999999956</v>
      </c>
      <c r="V43" s="21">
        <f>S43-[1]FPG!S43-'[1]C.E.'!S43</f>
        <v>0</v>
      </c>
      <c r="W43" s="22">
        <f>S43-7013933-4690200</f>
        <v>0.27325057983398438</v>
      </c>
    </row>
    <row r="44" spans="1:23" x14ac:dyDescent="0.2">
      <c r="A44" s="9"/>
      <c r="B44" s="24" t="s">
        <v>55</v>
      </c>
      <c r="C44" s="24" t="s">
        <v>56</v>
      </c>
      <c r="D44" s="25"/>
      <c r="E44" s="23" t="s">
        <v>57</v>
      </c>
      <c r="F44" s="26">
        <f>SUM(F45:F56)</f>
        <v>141695.81351586335</v>
      </c>
      <c r="G44" s="26">
        <f>SUM(G45:G56)</f>
        <v>141695.81351586335</v>
      </c>
      <c r="H44" s="26">
        <f t="shared" ref="H44:Q44" si="8">SUM(H45:H56)</f>
        <v>141695.81351586335</v>
      </c>
      <c r="I44" s="26">
        <f t="shared" si="8"/>
        <v>141695.81351586335</v>
      </c>
      <c r="J44" s="26">
        <f t="shared" si="8"/>
        <v>141695.81351586335</v>
      </c>
      <c r="K44" s="26">
        <f t="shared" si="8"/>
        <v>146695.81351586335</v>
      </c>
      <c r="L44" s="26">
        <f t="shared" si="8"/>
        <v>141695.81351586335</v>
      </c>
      <c r="M44" s="26">
        <f t="shared" si="8"/>
        <v>141695.81351586335</v>
      </c>
      <c r="N44" s="26">
        <f t="shared" si="8"/>
        <v>141695.81351586335</v>
      </c>
      <c r="O44" s="26">
        <f t="shared" si="8"/>
        <v>141695.81351586335</v>
      </c>
      <c r="P44" s="26">
        <f t="shared" si="8"/>
        <v>141695.81351586335</v>
      </c>
      <c r="Q44" s="26">
        <f t="shared" si="8"/>
        <v>146695.81351586335</v>
      </c>
      <c r="R44" s="27"/>
      <c r="S44" s="28">
        <f t="shared" ref="S44:S106" si="9">SUM(F44:R44)</f>
        <v>1710349.7621903603</v>
      </c>
      <c r="T44" s="29">
        <f>S44/$S$43</f>
        <v>0.14613211608751156</v>
      </c>
      <c r="V44" s="21">
        <f>S44-[1]FPG!S44-'[1]C.E.'!S44</f>
        <v>0</v>
      </c>
      <c r="W44" s="22"/>
    </row>
    <row r="45" spans="1:23" outlineLevel="1" x14ac:dyDescent="0.2">
      <c r="A45" s="9"/>
      <c r="B45" s="48"/>
      <c r="C45" s="31">
        <v>400000</v>
      </c>
      <c r="D45" s="32" t="s">
        <v>58</v>
      </c>
      <c r="E45" s="33"/>
      <c r="F45" s="34">
        <f>[1]FPG!F45+'[1]C.E.'!F45+[1]SAP!F45</f>
        <v>115427.95912956001</v>
      </c>
      <c r="G45" s="34">
        <f>[1]FPG!G45+'[1]C.E.'!G45+[1]SAP!G45</f>
        <v>115427.95912956001</v>
      </c>
      <c r="H45" s="34">
        <f>[1]FPG!H45+'[1]C.E.'!H45+[1]SAP!H45</f>
        <v>115427.95912956001</v>
      </c>
      <c r="I45" s="34">
        <f>[1]FPG!I45+'[1]C.E.'!I45+[1]SAP!I45</f>
        <v>115427.95912956001</v>
      </c>
      <c r="J45" s="34">
        <f>[1]FPG!J45+'[1]C.E.'!J45+[1]SAP!J45</f>
        <v>115427.95912956001</v>
      </c>
      <c r="K45" s="34">
        <f>[1]FPG!K45+'[1]C.E.'!K45+[1]SAP!K45</f>
        <v>115427.95912956001</v>
      </c>
      <c r="L45" s="34">
        <f>[1]FPG!L45+'[1]C.E.'!L45+[1]SAP!L45</f>
        <v>115427.95912956001</v>
      </c>
      <c r="M45" s="34">
        <f>[1]FPG!M45+'[1]C.E.'!M45+[1]SAP!M45</f>
        <v>115427.95912956001</v>
      </c>
      <c r="N45" s="34">
        <f>[1]FPG!N45+'[1]C.E.'!N45+[1]SAP!N45</f>
        <v>115427.95912956001</v>
      </c>
      <c r="O45" s="34">
        <f>[1]FPG!O45+'[1]C.E.'!O45+[1]SAP!O45</f>
        <v>115427.95912956001</v>
      </c>
      <c r="P45" s="34">
        <f>[1]FPG!P45+'[1]C.E.'!P45+[1]SAP!P45</f>
        <v>115427.95912956001</v>
      </c>
      <c r="Q45" s="34">
        <f>[1]FPG!Q45+'[1]C.E.'!Q45+[1]SAP!Q45</f>
        <v>115427.95912956001</v>
      </c>
      <c r="R45" s="27"/>
      <c r="S45" s="35">
        <f t="shared" si="9"/>
        <v>1385135.5095547203</v>
      </c>
      <c r="T45" s="36">
        <f t="shared" ref="T45:T108" si="10">S45/$S$43</f>
        <v>0.11834584220946996</v>
      </c>
      <c r="V45" s="21">
        <f>S45-[1]FPG!S45-'[1]C.E.'!S45</f>
        <v>0</v>
      </c>
      <c r="W45" s="22"/>
    </row>
    <row r="46" spans="1:23" outlineLevel="1" x14ac:dyDescent="0.2">
      <c r="A46" s="9"/>
      <c r="B46" s="48"/>
      <c r="C46" s="31">
        <v>400001</v>
      </c>
      <c r="D46" s="32" t="s">
        <v>59</v>
      </c>
      <c r="E46" s="33"/>
      <c r="F46" s="34">
        <f>[1]FPG!F46+'[1]C.E.'!F46+[1]SAP!F46</f>
        <v>9618.9965941299997</v>
      </c>
      <c r="G46" s="34">
        <f>[1]FPG!G46+'[1]C.E.'!G46+[1]SAP!G46</f>
        <v>9618.9965941299997</v>
      </c>
      <c r="H46" s="34">
        <f>[1]FPG!H46+'[1]C.E.'!H46+[1]SAP!H46</f>
        <v>9618.9965941299997</v>
      </c>
      <c r="I46" s="34">
        <f>[1]FPG!I46+'[1]C.E.'!I46+[1]SAP!I46</f>
        <v>9618.9965941299997</v>
      </c>
      <c r="J46" s="34">
        <f>[1]FPG!J46+'[1]C.E.'!J46+[1]SAP!J46</f>
        <v>9618.9965941299997</v>
      </c>
      <c r="K46" s="34">
        <f>[1]FPG!K46+'[1]C.E.'!K46+[1]SAP!K46</f>
        <v>9618.9965941299997</v>
      </c>
      <c r="L46" s="34">
        <f>[1]FPG!L46+'[1]C.E.'!L46+[1]SAP!L46</f>
        <v>9618.9965941299997</v>
      </c>
      <c r="M46" s="34">
        <f>[1]FPG!M46+'[1]C.E.'!M46+[1]SAP!M46</f>
        <v>9618.9965941299997</v>
      </c>
      <c r="N46" s="34">
        <f>[1]FPG!N46+'[1]C.E.'!N46+[1]SAP!N46</f>
        <v>9618.9965941299997</v>
      </c>
      <c r="O46" s="34">
        <f>[1]FPG!O46+'[1]C.E.'!O46+[1]SAP!O46</f>
        <v>9618.9965941299997</v>
      </c>
      <c r="P46" s="34">
        <f>[1]FPG!P46+'[1]C.E.'!P46+[1]SAP!P46</f>
        <v>9618.9965941299997</v>
      </c>
      <c r="Q46" s="34">
        <f>[1]FPG!Q46+'[1]C.E.'!Q46+[1]SAP!Q46</f>
        <v>9618.9965941299997</v>
      </c>
      <c r="R46" s="27"/>
      <c r="S46" s="35">
        <f t="shared" si="9"/>
        <v>115427.95912956003</v>
      </c>
      <c r="T46" s="36">
        <f t="shared" si="10"/>
        <v>9.8621535174558302E-3</v>
      </c>
      <c r="V46" s="21">
        <f>S46-[1]FPG!S46-'[1]C.E.'!S46</f>
        <v>0</v>
      </c>
      <c r="W46" s="22"/>
    </row>
    <row r="47" spans="1:23" outlineLevel="1" x14ac:dyDescent="0.2">
      <c r="A47" s="9"/>
      <c r="B47" s="48"/>
      <c r="C47" s="31">
        <v>400002</v>
      </c>
      <c r="D47" s="32" t="s">
        <v>60</v>
      </c>
      <c r="E47" s="33"/>
      <c r="F47" s="34">
        <f>[1]FPG!F47+'[1]C.E.'!F47+[1]SAP!F47</f>
        <v>12825.328792173334</v>
      </c>
      <c r="G47" s="34">
        <f>[1]FPG!G47+'[1]C.E.'!G47+[1]SAP!G47</f>
        <v>12825.328792173334</v>
      </c>
      <c r="H47" s="34">
        <f>[1]FPG!H47+'[1]C.E.'!H47+[1]SAP!H47</f>
        <v>12825.328792173334</v>
      </c>
      <c r="I47" s="34">
        <f>[1]FPG!I47+'[1]C.E.'!I47+[1]SAP!I47</f>
        <v>12825.328792173334</v>
      </c>
      <c r="J47" s="34">
        <f>[1]FPG!J47+'[1]C.E.'!J47+[1]SAP!J47</f>
        <v>12825.328792173334</v>
      </c>
      <c r="K47" s="34">
        <f>[1]FPG!K47+'[1]C.E.'!K47+[1]SAP!K47</f>
        <v>12825.328792173334</v>
      </c>
      <c r="L47" s="34">
        <f>[1]FPG!L47+'[1]C.E.'!L47+[1]SAP!L47</f>
        <v>12825.328792173334</v>
      </c>
      <c r="M47" s="34">
        <f>[1]FPG!M47+'[1]C.E.'!M47+[1]SAP!M47</f>
        <v>12825.328792173334</v>
      </c>
      <c r="N47" s="34">
        <f>[1]FPG!N47+'[1]C.E.'!N47+[1]SAP!N47</f>
        <v>12825.328792173334</v>
      </c>
      <c r="O47" s="34">
        <f>[1]FPG!O47+'[1]C.E.'!O47+[1]SAP!O47</f>
        <v>12825.328792173334</v>
      </c>
      <c r="P47" s="34">
        <f>[1]FPG!P47+'[1]C.E.'!P47+[1]SAP!P47</f>
        <v>12825.328792173334</v>
      </c>
      <c r="Q47" s="34">
        <f>[1]FPG!Q47+'[1]C.E.'!Q47+[1]SAP!Q47</f>
        <v>12825.328792173334</v>
      </c>
      <c r="R47" s="27"/>
      <c r="S47" s="35">
        <f t="shared" si="9"/>
        <v>153903.94550607997</v>
      </c>
      <c r="T47" s="36">
        <f t="shared" si="10"/>
        <v>1.3149538023274435E-2</v>
      </c>
      <c r="V47" s="21">
        <f>S47-[1]FPG!S47-'[1]C.E.'!S47</f>
        <v>0</v>
      </c>
      <c r="W47" s="22"/>
    </row>
    <row r="48" spans="1:23" outlineLevel="1" x14ac:dyDescent="0.2">
      <c r="A48" s="9"/>
      <c r="B48" s="48"/>
      <c r="C48" s="31">
        <v>400003</v>
      </c>
      <c r="D48" s="32" t="s">
        <v>61</v>
      </c>
      <c r="E48" s="33"/>
      <c r="F48" s="34">
        <f>[1]FPG!F48+'[1]C.E.'!F48+[1]SAP!F48</f>
        <v>0</v>
      </c>
      <c r="G48" s="34">
        <f>[1]FPG!G48+'[1]C.E.'!G48+[1]SAP!G48</f>
        <v>0</v>
      </c>
      <c r="H48" s="34">
        <f>[1]FPG!H48+'[1]C.E.'!H48+[1]SAP!H48</f>
        <v>0</v>
      </c>
      <c r="I48" s="34">
        <f>[1]FPG!I48+'[1]C.E.'!I48+[1]SAP!I48</f>
        <v>0</v>
      </c>
      <c r="J48" s="34">
        <f>[1]FPG!J48+'[1]C.E.'!J48+[1]SAP!J48</f>
        <v>0</v>
      </c>
      <c r="K48" s="34">
        <f>[1]FPG!K48+'[1]C.E.'!K48+[1]SAP!K48</f>
        <v>5000</v>
      </c>
      <c r="L48" s="34">
        <f>[1]FPG!L48+'[1]C.E.'!L48+[1]SAP!L48</f>
        <v>0</v>
      </c>
      <c r="M48" s="34">
        <f>[1]FPG!M48+'[1]C.E.'!M48+[1]SAP!M48</f>
        <v>0</v>
      </c>
      <c r="N48" s="34">
        <f>[1]FPG!N48+'[1]C.E.'!N48+[1]SAP!N48</f>
        <v>0</v>
      </c>
      <c r="O48" s="34">
        <f>[1]FPG!O48+'[1]C.E.'!O48+[1]SAP!O48</f>
        <v>0</v>
      </c>
      <c r="P48" s="34">
        <f>[1]FPG!P48+'[1]C.E.'!P48+[1]SAP!P48</f>
        <v>0</v>
      </c>
      <c r="Q48" s="34">
        <f>[1]FPG!Q48+'[1]C.E.'!Q48+[1]SAP!Q48</f>
        <v>5000</v>
      </c>
      <c r="R48" s="27"/>
      <c r="S48" s="35">
        <f t="shared" si="9"/>
        <v>10000</v>
      </c>
      <c r="T48" s="36">
        <f t="shared" si="10"/>
        <v>8.5439902011836091E-4</v>
      </c>
      <c r="V48" s="21">
        <f>S48-[1]FPG!S48-'[1]C.E.'!S48</f>
        <v>0</v>
      </c>
      <c r="W48" s="22"/>
    </row>
    <row r="49" spans="1:23" hidden="1" outlineLevel="1" x14ac:dyDescent="0.2">
      <c r="A49" s="9"/>
      <c r="B49" s="48"/>
      <c r="C49" s="31">
        <v>400004</v>
      </c>
      <c r="D49" s="32" t="s">
        <v>62</v>
      </c>
      <c r="E49" s="33"/>
      <c r="F49" s="34">
        <f>[1]FPG!F49+'[1]C.E.'!F49+[1]SAP!F49</f>
        <v>0</v>
      </c>
      <c r="G49" s="34">
        <f>[1]FPG!G49+'[1]C.E.'!G49+[1]SAP!G49</f>
        <v>0</v>
      </c>
      <c r="H49" s="34">
        <f>[1]FPG!H49+'[1]C.E.'!H49+[1]SAP!H49</f>
        <v>0</v>
      </c>
      <c r="I49" s="34">
        <f>[1]FPG!I49+'[1]C.E.'!I49+[1]SAP!I49</f>
        <v>0</v>
      </c>
      <c r="J49" s="34">
        <f>[1]FPG!J49+'[1]C.E.'!J49+[1]SAP!J49</f>
        <v>0</v>
      </c>
      <c r="K49" s="34">
        <f>[1]FPG!K49+'[1]C.E.'!K49+[1]SAP!K49</f>
        <v>0</v>
      </c>
      <c r="L49" s="34">
        <f>[1]FPG!L49+'[1]C.E.'!L49+[1]SAP!L49</f>
        <v>0</v>
      </c>
      <c r="M49" s="34">
        <f>[1]FPG!M49+'[1]C.E.'!M49+[1]SAP!M49</f>
        <v>0</v>
      </c>
      <c r="N49" s="34">
        <f>[1]FPG!N49+'[1]C.E.'!N49+[1]SAP!N49</f>
        <v>0</v>
      </c>
      <c r="O49" s="34">
        <f>[1]FPG!O49+'[1]C.E.'!O49+[1]SAP!O49</f>
        <v>0</v>
      </c>
      <c r="P49" s="34">
        <f>[1]FPG!P49+'[1]C.E.'!P49+[1]SAP!P49</f>
        <v>0</v>
      </c>
      <c r="Q49" s="34">
        <f>[1]FPG!Q49+'[1]C.E.'!Q49+[1]SAP!Q49</f>
        <v>0</v>
      </c>
      <c r="R49" s="27"/>
      <c r="S49" s="35">
        <f t="shared" si="9"/>
        <v>0</v>
      </c>
      <c r="T49" s="36">
        <f t="shared" si="10"/>
        <v>0</v>
      </c>
      <c r="V49" s="21">
        <f>S49-[1]FPG!S49-'[1]C.E.'!S49</f>
        <v>0</v>
      </c>
      <c r="W49" s="22"/>
    </row>
    <row r="50" spans="1:23" outlineLevel="1" x14ac:dyDescent="0.2">
      <c r="A50" s="9"/>
      <c r="B50" s="48"/>
      <c r="C50" s="31">
        <v>400005</v>
      </c>
      <c r="D50" s="32" t="s">
        <v>63</v>
      </c>
      <c r="E50" s="33"/>
      <c r="F50" s="34">
        <f>[1]FPG!F50+'[1]C.E.'!F50+[1]SAP!F50</f>
        <v>3500</v>
      </c>
      <c r="G50" s="34">
        <f>[1]FPG!G50+'[1]C.E.'!G50+[1]SAP!G50</f>
        <v>3500</v>
      </c>
      <c r="H50" s="34">
        <f>[1]FPG!H50+'[1]C.E.'!H50+[1]SAP!H50</f>
        <v>3500</v>
      </c>
      <c r="I50" s="34">
        <f>[1]FPG!I50+'[1]C.E.'!I50+[1]SAP!I50</f>
        <v>3500</v>
      </c>
      <c r="J50" s="34">
        <f>[1]FPG!J50+'[1]C.E.'!J50+[1]SAP!J50</f>
        <v>3500</v>
      </c>
      <c r="K50" s="34">
        <f>[1]FPG!K50+'[1]C.E.'!K50+[1]SAP!K50</f>
        <v>3500</v>
      </c>
      <c r="L50" s="34">
        <f>[1]FPG!L50+'[1]C.E.'!L50+[1]SAP!L50</f>
        <v>3500</v>
      </c>
      <c r="M50" s="34">
        <f>[1]FPG!M50+'[1]C.E.'!M50+[1]SAP!M50</f>
        <v>3500</v>
      </c>
      <c r="N50" s="34">
        <f>[1]FPG!N50+'[1]C.E.'!N50+[1]SAP!N50</f>
        <v>3500</v>
      </c>
      <c r="O50" s="34">
        <f>[1]FPG!O50+'[1]C.E.'!O50+[1]SAP!O50</f>
        <v>3500</v>
      </c>
      <c r="P50" s="34">
        <f>[1]FPG!P50+'[1]C.E.'!P50+[1]SAP!P50</f>
        <v>3500</v>
      </c>
      <c r="Q50" s="34">
        <f>[1]FPG!Q50+'[1]C.E.'!Q50+[1]SAP!Q50</f>
        <v>3500</v>
      </c>
      <c r="R50" s="27"/>
      <c r="S50" s="35">
        <f t="shared" si="9"/>
        <v>42000</v>
      </c>
      <c r="T50" s="36">
        <f t="shared" si="10"/>
        <v>3.588475884497116E-3</v>
      </c>
      <c r="V50" s="21">
        <f>S50-[1]FPG!S50-'[1]C.E.'!S50</f>
        <v>0</v>
      </c>
      <c r="W50" s="22"/>
    </row>
    <row r="51" spans="1:23" hidden="1" outlineLevel="1" x14ac:dyDescent="0.2">
      <c r="A51" s="9"/>
      <c r="B51" s="48"/>
      <c r="C51" s="31">
        <v>400006</v>
      </c>
      <c r="D51" s="32" t="s">
        <v>64</v>
      </c>
      <c r="E51" s="33"/>
      <c r="F51" s="34">
        <f>[1]FPG!F51+'[1]C.E.'!F51+[1]SAP!F51</f>
        <v>0</v>
      </c>
      <c r="G51" s="34">
        <f>[1]FPG!G51+'[1]C.E.'!G51+[1]SAP!G51</f>
        <v>0</v>
      </c>
      <c r="H51" s="34">
        <f>[1]FPG!H51+'[1]C.E.'!H51+[1]SAP!H51</f>
        <v>0</v>
      </c>
      <c r="I51" s="34">
        <f>[1]FPG!I51+'[1]C.E.'!I51+[1]SAP!I51</f>
        <v>0</v>
      </c>
      <c r="J51" s="34">
        <f>[1]FPG!J51+'[1]C.E.'!J51+[1]SAP!J51</f>
        <v>0</v>
      </c>
      <c r="K51" s="34">
        <f>[1]FPG!K51+'[1]C.E.'!K51+[1]SAP!K51</f>
        <v>0</v>
      </c>
      <c r="L51" s="34">
        <f>[1]FPG!L51+'[1]C.E.'!L51+[1]SAP!L51</f>
        <v>0</v>
      </c>
      <c r="M51" s="34">
        <f>[1]FPG!M51+'[1]C.E.'!M51+[1]SAP!M51</f>
        <v>0</v>
      </c>
      <c r="N51" s="34">
        <f>[1]FPG!N51+'[1]C.E.'!N51+[1]SAP!N51</f>
        <v>0</v>
      </c>
      <c r="O51" s="34">
        <f>[1]FPG!O51+'[1]C.E.'!O51+[1]SAP!O51</f>
        <v>0</v>
      </c>
      <c r="P51" s="34">
        <f>[1]FPG!P51+'[1]C.E.'!P51+[1]SAP!P51</f>
        <v>0</v>
      </c>
      <c r="Q51" s="34">
        <f>[1]FPG!Q51+'[1]C.E.'!Q51+[1]SAP!Q51</f>
        <v>0</v>
      </c>
      <c r="R51" s="27"/>
      <c r="S51" s="35">
        <f t="shared" si="9"/>
        <v>0</v>
      </c>
      <c r="T51" s="36">
        <f t="shared" si="10"/>
        <v>0</v>
      </c>
      <c r="V51" s="21">
        <f>S51-[1]FPG!S51-'[1]C.E.'!S51</f>
        <v>0</v>
      </c>
      <c r="W51" s="22"/>
    </row>
    <row r="52" spans="1:23" hidden="1" outlineLevel="1" x14ac:dyDescent="0.2">
      <c r="A52" s="9"/>
      <c r="B52" s="48"/>
      <c r="C52" s="31">
        <v>400007</v>
      </c>
      <c r="D52" s="32" t="s">
        <v>65</v>
      </c>
      <c r="E52" s="33"/>
      <c r="F52" s="34">
        <f>[1]FPG!F52+'[1]C.E.'!F52+[1]SAP!F52</f>
        <v>0</v>
      </c>
      <c r="G52" s="34">
        <f>[1]FPG!G52+'[1]C.E.'!G52+[1]SAP!G52</f>
        <v>0</v>
      </c>
      <c r="H52" s="34">
        <f>[1]FPG!H52+'[1]C.E.'!H52+[1]SAP!H52</f>
        <v>0</v>
      </c>
      <c r="I52" s="34">
        <f>[1]FPG!I52+'[1]C.E.'!I52+[1]SAP!I52</f>
        <v>0</v>
      </c>
      <c r="J52" s="34">
        <f>[1]FPG!J52+'[1]C.E.'!J52+[1]SAP!J52</f>
        <v>0</v>
      </c>
      <c r="K52" s="34">
        <f>[1]FPG!K52+'[1]C.E.'!K52+[1]SAP!K52</f>
        <v>0</v>
      </c>
      <c r="L52" s="34">
        <f>[1]FPG!L52+'[1]C.E.'!L52+[1]SAP!L52</f>
        <v>0</v>
      </c>
      <c r="M52" s="34">
        <f>[1]FPG!M52+'[1]C.E.'!M52+[1]SAP!M52</f>
        <v>0</v>
      </c>
      <c r="N52" s="34">
        <f>[1]FPG!N52+'[1]C.E.'!N52+[1]SAP!N52</f>
        <v>0</v>
      </c>
      <c r="O52" s="34">
        <f>[1]FPG!O52+'[1]C.E.'!O52+[1]SAP!O52</f>
        <v>0</v>
      </c>
      <c r="P52" s="34">
        <f>[1]FPG!P52+'[1]C.E.'!P52+[1]SAP!P52</f>
        <v>0</v>
      </c>
      <c r="Q52" s="34">
        <f>[1]FPG!Q52+'[1]C.E.'!Q52+[1]SAP!Q52</f>
        <v>0</v>
      </c>
      <c r="R52" s="27"/>
      <c r="S52" s="35">
        <f t="shared" si="9"/>
        <v>0</v>
      </c>
      <c r="T52" s="36">
        <f t="shared" si="10"/>
        <v>0</v>
      </c>
      <c r="V52" s="21">
        <f>S52-[1]FPG!S52-'[1]C.E.'!S52</f>
        <v>0</v>
      </c>
      <c r="W52" s="22"/>
    </row>
    <row r="53" spans="1:23" hidden="1" outlineLevel="1" x14ac:dyDescent="0.2">
      <c r="A53" s="9"/>
      <c r="B53" s="48"/>
      <c r="C53" s="31">
        <v>400008</v>
      </c>
      <c r="D53" s="32" t="s">
        <v>66</v>
      </c>
      <c r="E53" s="33"/>
      <c r="F53" s="34">
        <f>[1]FPG!F53+'[1]C.E.'!F53+[1]SAP!F53</f>
        <v>0</v>
      </c>
      <c r="G53" s="34">
        <f>[1]FPG!G53+'[1]C.E.'!G53+[1]SAP!G53</f>
        <v>0</v>
      </c>
      <c r="H53" s="34">
        <f>[1]FPG!H53+'[1]C.E.'!H53+[1]SAP!H53</f>
        <v>0</v>
      </c>
      <c r="I53" s="34">
        <f>[1]FPG!I53+'[1]C.E.'!I53+[1]SAP!I53</f>
        <v>0</v>
      </c>
      <c r="J53" s="34">
        <f>[1]FPG!J53+'[1]C.E.'!J53+[1]SAP!J53</f>
        <v>0</v>
      </c>
      <c r="K53" s="34">
        <f>[1]FPG!K53+'[1]C.E.'!K53+[1]SAP!K53</f>
        <v>0</v>
      </c>
      <c r="L53" s="34">
        <f>[1]FPG!L53+'[1]C.E.'!L53+[1]SAP!L53</f>
        <v>0</v>
      </c>
      <c r="M53" s="34">
        <f>[1]FPG!M53+'[1]C.E.'!M53+[1]SAP!M53</f>
        <v>0</v>
      </c>
      <c r="N53" s="34">
        <f>[1]FPG!N53+'[1]C.E.'!N53+[1]SAP!N53</f>
        <v>0</v>
      </c>
      <c r="O53" s="34">
        <f>[1]FPG!O53+'[1]C.E.'!O53+[1]SAP!O53</f>
        <v>0</v>
      </c>
      <c r="P53" s="34">
        <f>[1]FPG!P53+'[1]C.E.'!P53+[1]SAP!P53</f>
        <v>0</v>
      </c>
      <c r="Q53" s="34">
        <f>[1]FPG!Q53+'[1]C.E.'!Q53+[1]SAP!Q53</f>
        <v>0</v>
      </c>
      <c r="R53" s="27"/>
      <c r="S53" s="35">
        <f t="shared" si="9"/>
        <v>0</v>
      </c>
      <c r="T53" s="36">
        <f t="shared" si="10"/>
        <v>0</v>
      </c>
      <c r="V53" s="21">
        <f>S53-[1]FPG!S53-'[1]C.E.'!S53</f>
        <v>0</v>
      </c>
      <c r="W53" s="22"/>
    </row>
    <row r="54" spans="1:23" outlineLevel="1" x14ac:dyDescent="0.2">
      <c r="A54" s="9"/>
      <c r="B54" s="48"/>
      <c r="C54" s="31">
        <v>400009</v>
      </c>
      <c r="D54" s="32" t="s">
        <v>67</v>
      </c>
      <c r="E54" s="33"/>
      <c r="F54" s="34">
        <f>[1]FPG!F54+'[1]C.E.'!F54+[1]SAP!F54</f>
        <v>323.529</v>
      </c>
      <c r="G54" s="34">
        <f>[1]FPG!G54+'[1]C.E.'!G54+[1]SAP!G54</f>
        <v>323.529</v>
      </c>
      <c r="H54" s="34">
        <f>[1]FPG!H54+'[1]C.E.'!H54+[1]SAP!H54</f>
        <v>323.529</v>
      </c>
      <c r="I54" s="34">
        <f>[1]FPG!I54+'[1]C.E.'!I54+[1]SAP!I54</f>
        <v>323.529</v>
      </c>
      <c r="J54" s="34">
        <f>[1]FPG!J54+'[1]C.E.'!J54+[1]SAP!J54</f>
        <v>323.529</v>
      </c>
      <c r="K54" s="34">
        <f>[1]FPG!K54+'[1]C.E.'!K54+[1]SAP!K54</f>
        <v>323.529</v>
      </c>
      <c r="L54" s="34">
        <f>[1]FPG!L54+'[1]C.E.'!L54+[1]SAP!L54</f>
        <v>323.529</v>
      </c>
      <c r="M54" s="34">
        <f>[1]FPG!M54+'[1]C.E.'!M54+[1]SAP!M54</f>
        <v>323.529</v>
      </c>
      <c r="N54" s="34">
        <f>[1]FPG!N54+'[1]C.E.'!N54+[1]SAP!N54</f>
        <v>323.529</v>
      </c>
      <c r="O54" s="34">
        <f>[1]FPG!O54+'[1]C.E.'!O54+[1]SAP!O54</f>
        <v>323.529</v>
      </c>
      <c r="P54" s="34">
        <f>[1]FPG!P54+'[1]C.E.'!P54+[1]SAP!P54</f>
        <v>323.529</v>
      </c>
      <c r="Q54" s="34">
        <f>[1]FPG!Q54+'[1]C.E.'!Q54+[1]SAP!Q54</f>
        <v>323.529</v>
      </c>
      <c r="R54" s="27"/>
      <c r="S54" s="35">
        <f t="shared" si="9"/>
        <v>3882.348</v>
      </c>
      <c r="T54" s="36">
        <f t="shared" si="10"/>
        <v>3.3170743269584783E-4</v>
      </c>
      <c r="V54" s="21">
        <f>S54-[1]FPG!S54-'[1]C.E.'!S54</f>
        <v>0</v>
      </c>
      <c r="W54" s="22"/>
    </row>
    <row r="55" spans="1:23" hidden="1" outlineLevel="1" x14ac:dyDescent="0.2">
      <c r="A55" s="9"/>
      <c r="B55" s="48"/>
      <c r="C55" s="31">
        <v>400010</v>
      </c>
      <c r="D55" s="32" t="s">
        <v>68</v>
      </c>
      <c r="E55" s="33"/>
      <c r="F55" s="34">
        <f>[1]FPG!F55+'[1]C.E.'!F55+[1]SAP!F55</f>
        <v>0</v>
      </c>
      <c r="G55" s="34">
        <f>[1]FPG!G55+'[1]C.E.'!G55+[1]SAP!G55</f>
        <v>0</v>
      </c>
      <c r="H55" s="34">
        <f>[1]FPG!H55+'[1]C.E.'!H55+[1]SAP!H55</f>
        <v>0</v>
      </c>
      <c r="I55" s="34">
        <f>[1]FPG!I55+'[1]C.E.'!I55+[1]SAP!I55</f>
        <v>0</v>
      </c>
      <c r="J55" s="34">
        <f>[1]FPG!J55+'[1]C.E.'!J55+[1]SAP!J55</f>
        <v>0</v>
      </c>
      <c r="K55" s="34">
        <f>[1]FPG!K55+'[1]C.E.'!K55+[1]SAP!K55</f>
        <v>0</v>
      </c>
      <c r="L55" s="34">
        <f>[1]FPG!L55+'[1]C.E.'!L55+[1]SAP!L55</f>
        <v>0</v>
      </c>
      <c r="M55" s="34">
        <f>[1]FPG!M55+'[1]C.E.'!M55+[1]SAP!M55</f>
        <v>0</v>
      </c>
      <c r="N55" s="34">
        <f>[1]FPG!N55+'[1]C.E.'!N55+[1]SAP!N55</f>
        <v>0</v>
      </c>
      <c r="O55" s="34">
        <f>[1]FPG!O55+'[1]C.E.'!O55+[1]SAP!O55</f>
        <v>0</v>
      </c>
      <c r="P55" s="34">
        <f>[1]FPG!P55+'[1]C.E.'!P55+[1]SAP!P55</f>
        <v>0</v>
      </c>
      <c r="Q55" s="34">
        <f>[1]FPG!Q55+'[1]C.E.'!Q55+[1]SAP!Q55</f>
        <v>0</v>
      </c>
      <c r="R55" s="27"/>
      <c r="S55" s="35">
        <f t="shared" si="9"/>
        <v>0</v>
      </c>
      <c r="T55" s="36">
        <f t="shared" si="10"/>
        <v>0</v>
      </c>
      <c r="V55" s="21">
        <f>S55-[1]FPG!S55-'[1]C.E.'!S55</f>
        <v>0</v>
      </c>
      <c r="W55" s="22"/>
    </row>
    <row r="56" spans="1:23" hidden="1" outlineLevel="1" x14ac:dyDescent="0.2">
      <c r="A56" s="9"/>
      <c r="B56" s="48"/>
      <c r="C56" s="31">
        <v>400011</v>
      </c>
      <c r="D56" s="32" t="s">
        <v>69</v>
      </c>
      <c r="E56" s="33"/>
      <c r="F56" s="34">
        <f>[1]FPG!F56+'[1]C.E.'!F56+[1]SAP!F56</f>
        <v>0</v>
      </c>
      <c r="G56" s="34">
        <f>[1]FPG!G56+'[1]C.E.'!G56+[1]SAP!G56</f>
        <v>0</v>
      </c>
      <c r="H56" s="34">
        <f>[1]FPG!H56+'[1]C.E.'!H56+[1]SAP!H56</f>
        <v>0</v>
      </c>
      <c r="I56" s="34">
        <f>[1]FPG!I56+'[1]C.E.'!I56+[1]SAP!I56</f>
        <v>0</v>
      </c>
      <c r="J56" s="34">
        <f>[1]FPG!J56+'[1]C.E.'!J56+[1]SAP!J56</f>
        <v>0</v>
      </c>
      <c r="K56" s="34">
        <f>[1]FPG!K56+'[1]C.E.'!K56+[1]SAP!K56</f>
        <v>0</v>
      </c>
      <c r="L56" s="34">
        <f>[1]FPG!L56+'[1]C.E.'!L56+[1]SAP!L56</f>
        <v>0</v>
      </c>
      <c r="M56" s="34">
        <f>[1]FPG!M56+'[1]C.E.'!M56+[1]SAP!M56</f>
        <v>0</v>
      </c>
      <c r="N56" s="34">
        <f>[1]FPG!N56+'[1]C.E.'!N56+[1]SAP!N56</f>
        <v>0</v>
      </c>
      <c r="O56" s="34">
        <f>[1]FPG!O56+'[1]C.E.'!O56+[1]SAP!O56</f>
        <v>0</v>
      </c>
      <c r="P56" s="34">
        <f>[1]FPG!P56+'[1]C.E.'!P56+[1]SAP!P56</f>
        <v>0</v>
      </c>
      <c r="Q56" s="34">
        <f>[1]FPG!Q56+'[1]C.E.'!Q56+[1]SAP!Q56</f>
        <v>0</v>
      </c>
      <c r="R56" s="27"/>
      <c r="S56" s="35">
        <f t="shared" si="9"/>
        <v>0</v>
      </c>
      <c r="T56" s="36">
        <f t="shared" si="10"/>
        <v>0</v>
      </c>
      <c r="V56" s="21">
        <f>S56-[1]FPG!S56-'[1]C.E.'!S56</f>
        <v>0</v>
      </c>
      <c r="W56" s="22"/>
    </row>
    <row r="57" spans="1:23" hidden="1" x14ac:dyDescent="0.2">
      <c r="A57" s="9"/>
      <c r="B57" s="24" t="s">
        <v>70</v>
      </c>
      <c r="C57" s="24" t="s">
        <v>71</v>
      </c>
      <c r="D57" s="25"/>
      <c r="E57" s="23" t="s">
        <v>57</v>
      </c>
      <c r="F57" s="26">
        <f>SUM(F58:F61)</f>
        <v>0</v>
      </c>
      <c r="G57" s="26">
        <f>SUM(G58:G61)</f>
        <v>0</v>
      </c>
      <c r="H57" s="26">
        <f t="shared" ref="H57:Q57" si="11">SUM(H58:H61)</f>
        <v>0</v>
      </c>
      <c r="I57" s="26">
        <f t="shared" si="11"/>
        <v>0</v>
      </c>
      <c r="J57" s="26">
        <f t="shared" si="11"/>
        <v>0</v>
      </c>
      <c r="K57" s="26">
        <f t="shared" si="11"/>
        <v>0</v>
      </c>
      <c r="L57" s="26">
        <f t="shared" si="11"/>
        <v>0</v>
      </c>
      <c r="M57" s="26">
        <f t="shared" si="11"/>
        <v>0</v>
      </c>
      <c r="N57" s="26">
        <f t="shared" si="11"/>
        <v>0</v>
      </c>
      <c r="O57" s="26">
        <f t="shared" si="11"/>
        <v>0</v>
      </c>
      <c r="P57" s="26">
        <f t="shared" si="11"/>
        <v>0</v>
      </c>
      <c r="Q57" s="26">
        <f t="shared" si="11"/>
        <v>0</v>
      </c>
      <c r="R57" s="27"/>
      <c r="S57" s="28">
        <f t="shared" si="9"/>
        <v>0</v>
      </c>
      <c r="T57" s="29">
        <f>S57/$S$43</f>
        <v>0</v>
      </c>
      <c r="V57" s="21">
        <f>S57-[1]FPG!S57-'[1]C.E.'!S57</f>
        <v>0</v>
      </c>
      <c r="W57" s="22"/>
    </row>
    <row r="58" spans="1:23" hidden="1" outlineLevel="1" x14ac:dyDescent="0.2">
      <c r="A58" s="9"/>
      <c r="B58" s="48"/>
      <c r="C58" s="31">
        <v>400012</v>
      </c>
      <c r="D58" s="32" t="s">
        <v>72</v>
      </c>
      <c r="E58" s="33"/>
      <c r="F58" s="34">
        <f>[1]FPG!F58+'[1]C.E.'!F58+[1]SAP!F58</f>
        <v>0</v>
      </c>
      <c r="G58" s="34">
        <f>[1]FPG!G58+'[1]C.E.'!G58+[1]SAP!G58</f>
        <v>0</v>
      </c>
      <c r="H58" s="34">
        <f>[1]FPG!H58+'[1]C.E.'!H58+[1]SAP!H58</f>
        <v>0</v>
      </c>
      <c r="I58" s="34">
        <f>[1]FPG!I58+'[1]C.E.'!I58+[1]SAP!I58</f>
        <v>0</v>
      </c>
      <c r="J58" s="34">
        <f>[1]FPG!J58+'[1]C.E.'!J58+[1]SAP!J58</f>
        <v>0</v>
      </c>
      <c r="K58" s="34">
        <f>[1]FPG!K58+'[1]C.E.'!K58+[1]SAP!K58</f>
        <v>0</v>
      </c>
      <c r="L58" s="34">
        <f>[1]FPG!L58+'[1]C.E.'!L58+[1]SAP!L58</f>
        <v>0</v>
      </c>
      <c r="M58" s="34">
        <f>[1]FPG!M58+'[1]C.E.'!M58+[1]SAP!M58</f>
        <v>0</v>
      </c>
      <c r="N58" s="34">
        <f>[1]FPG!N58+'[1]C.E.'!N58+[1]SAP!N58</f>
        <v>0</v>
      </c>
      <c r="O58" s="34">
        <f>[1]FPG!O58+'[1]C.E.'!O58+[1]SAP!O58</f>
        <v>0</v>
      </c>
      <c r="P58" s="34">
        <f>[1]FPG!P58+'[1]C.E.'!P58+[1]SAP!P58</f>
        <v>0</v>
      </c>
      <c r="Q58" s="34">
        <f>[1]FPG!Q58+'[1]C.E.'!Q58+[1]SAP!Q58</f>
        <v>0</v>
      </c>
      <c r="R58" s="27"/>
      <c r="S58" s="35">
        <f t="shared" si="9"/>
        <v>0</v>
      </c>
      <c r="T58" s="36">
        <f t="shared" si="10"/>
        <v>0</v>
      </c>
      <c r="V58" s="21">
        <f>S58-[1]FPG!S58-'[1]C.E.'!S58</f>
        <v>0</v>
      </c>
      <c r="W58" s="22"/>
    </row>
    <row r="59" spans="1:23" hidden="1" outlineLevel="1" x14ac:dyDescent="0.2">
      <c r="A59" s="9"/>
      <c r="B59" s="48"/>
      <c r="C59" s="31">
        <v>400013</v>
      </c>
      <c r="D59" s="32" t="s">
        <v>73</v>
      </c>
      <c r="E59" s="33"/>
      <c r="F59" s="34">
        <f>[1]FPG!F59+'[1]C.E.'!F59+[1]SAP!F59</f>
        <v>0</v>
      </c>
      <c r="G59" s="34">
        <f>[1]FPG!G59+'[1]C.E.'!G59+[1]SAP!G59</f>
        <v>0</v>
      </c>
      <c r="H59" s="34">
        <f>[1]FPG!H59+'[1]C.E.'!H59+[1]SAP!H59</f>
        <v>0</v>
      </c>
      <c r="I59" s="34">
        <f>[1]FPG!I59+'[1]C.E.'!I59+[1]SAP!I59</f>
        <v>0</v>
      </c>
      <c r="J59" s="34">
        <f>[1]FPG!J59+'[1]C.E.'!J59+[1]SAP!J59</f>
        <v>0</v>
      </c>
      <c r="K59" s="34">
        <f>[1]FPG!K59+'[1]C.E.'!K59+[1]SAP!K59</f>
        <v>0</v>
      </c>
      <c r="L59" s="34">
        <f>[1]FPG!L59+'[1]C.E.'!L59+[1]SAP!L59</f>
        <v>0</v>
      </c>
      <c r="M59" s="34">
        <f>[1]FPG!M59+'[1]C.E.'!M59+[1]SAP!M59</f>
        <v>0</v>
      </c>
      <c r="N59" s="34">
        <f>[1]FPG!N59+'[1]C.E.'!N59+[1]SAP!N59</f>
        <v>0</v>
      </c>
      <c r="O59" s="34">
        <f>[1]FPG!O59+'[1]C.E.'!O59+[1]SAP!O59</f>
        <v>0</v>
      </c>
      <c r="P59" s="34">
        <f>[1]FPG!P59+'[1]C.E.'!P59+[1]SAP!P59</f>
        <v>0</v>
      </c>
      <c r="Q59" s="34">
        <f>[1]FPG!Q59+'[1]C.E.'!Q59+[1]SAP!Q59</f>
        <v>0</v>
      </c>
      <c r="R59" s="27"/>
      <c r="S59" s="35">
        <f t="shared" si="9"/>
        <v>0</v>
      </c>
      <c r="T59" s="36">
        <f t="shared" si="10"/>
        <v>0</v>
      </c>
      <c r="V59" s="21">
        <f>S59-[1]FPG!S59-'[1]C.E.'!S59</f>
        <v>0</v>
      </c>
      <c r="W59" s="22"/>
    </row>
    <row r="60" spans="1:23" hidden="1" outlineLevel="1" x14ac:dyDescent="0.2">
      <c r="A60" s="9"/>
      <c r="B60" s="48"/>
      <c r="C60" s="31">
        <v>400014</v>
      </c>
      <c r="D60" s="32" t="s">
        <v>74</v>
      </c>
      <c r="E60" s="33"/>
      <c r="F60" s="34">
        <f>[1]FPG!F60+'[1]C.E.'!F60+[1]SAP!F60</f>
        <v>0</v>
      </c>
      <c r="G60" s="34">
        <f>[1]FPG!G60+'[1]C.E.'!G60+[1]SAP!G60</f>
        <v>0</v>
      </c>
      <c r="H60" s="34">
        <f>[1]FPG!H60+'[1]C.E.'!H60+[1]SAP!H60</f>
        <v>0</v>
      </c>
      <c r="I60" s="34">
        <f>[1]FPG!I60+'[1]C.E.'!I60+[1]SAP!I60</f>
        <v>0</v>
      </c>
      <c r="J60" s="34">
        <f>[1]FPG!J60+'[1]C.E.'!J60+[1]SAP!J60</f>
        <v>0</v>
      </c>
      <c r="K60" s="34">
        <f>[1]FPG!K60+'[1]C.E.'!K60+[1]SAP!K60</f>
        <v>0</v>
      </c>
      <c r="L60" s="34">
        <f>[1]FPG!L60+'[1]C.E.'!L60+[1]SAP!L60</f>
        <v>0</v>
      </c>
      <c r="M60" s="34">
        <f>[1]FPG!M60+'[1]C.E.'!M60+[1]SAP!M60</f>
        <v>0</v>
      </c>
      <c r="N60" s="34">
        <f>[1]FPG!N60+'[1]C.E.'!N60+[1]SAP!N60</f>
        <v>0</v>
      </c>
      <c r="O60" s="34">
        <f>[1]FPG!O60+'[1]C.E.'!O60+[1]SAP!O60</f>
        <v>0</v>
      </c>
      <c r="P60" s="34">
        <f>[1]FPG!P60+'[1]C.E.'!P60+[1]SAP!P60</f>
        <v>0</v>
      </c>
      <c r="Q60" s="34">
        <f>[1]FPG!Q60+'[1]C.E.'!Q60+[1]SAP!Q60</f>
        <v>0</v>
      </c>
      <c r="R60" s="27"/>
      <c r="S60" s="35">
        <f t="shared" si="9"/>
        <v>0</v>
      </c>
      <c r="T60" s="36">
        <f t="shared" si="10"/>
        <v>0</v>
      </c>
      <c r="V60" s="21">
        <f>S60-[1]FPG!S60-'[1]C.E.'!S60</f>
        <v>0</v>
      </c>
      <c r="W60" s="22"/>
    </row>
    <row r="61" spans="1:23" hidden="1" outlineLevel="1" x14ac:dyDescent="0.2">
      <c r="A61" s="9"/>
      <c r="B61" s="48"/>
      <c r="C61" s="31">
        <v>400015</v>
      </c>
      <c r="D61" s="32" t="s">
        <v>75</v>
      </c>
      <c r="E61" s="33"/>
      <c r="F61" s="34">
        <f>[1]FPG!F61+'[1]C.E.'!F61+[1]SAP!F61</f>
        <v>0</v>
      </c>
      <c r="G61" s="34">
        <f>[1]FPG!G61+'[1]C.E.'!G61+[1]SAP!G61</f>
        <v>0</v>
      </c>
      <c r="H61" s="34">
        <f>[1]FPG!H61+'[1]C.E.'!H61+[1]SAP!H61</f>
        <v>0</v>
      </c>
      <c r="I61" s="34">
        <f>[1]FPG!I61+'[1]C.E.'!I61+[1]SAP!I61</f>
        <v>0</v>
      </c>
      <c r="J61" s="34">
        <f>[1]FPG!J61+'[1]C.E.'!J61+[1]SAP!J61</f>
        <v>0</v>
      </c>
      <c r="K61" s="34">
        <f>[1]FPG!K61+'[1]C.E.'!K61+[1]SAP!K61</f>
        <v>0</v>
      </c>
      <c r="L61" s="34">
        <f>[1]FPG!L61+'[1]C.E.'!L61+[1]SAP!L61</f>
        <v>0</v>
      </c>
      <c r="M61" s="34">
        <f>[1]FPG!M61+'[1]C.E.'!M61+[1]SAP!M61</f>
        <v>0</v>
      </c>
      <c r="N61" s="34">
        <f>[1]FPG!N61+'[1]C.E.'!N61+[1]SAP!N61</f>
        <v>0</v>
      </c>
      <c r="O61" s="34">
        <f>[1]FPG!O61+'[1]C.E.'!O61+[1]SAP!O61</f>
        <v>0</v>
      </c>
      <c r="P61" s="34">
        <f>[1]FPG!P61+'[1]C.E.'!P61+[1]SAP!P61</f>
        <v>0</v>
      </c>
      <c r="Q61" s="34">
        <f>[1]FPG!Q61+'[1]C.E.'!Q61+[1]SAP!Q61</f>
        <v>0</v>
      </c>
      <c r="R61" s="27"/>
      <c r="S61" s="35">
        <f t="shared" si="9"/>
        <v>0</v>
      </c>
      <c r="T61" s="36">
        <f t="shared" si="10"/>
        <v>0</v>
      </c>
      <c r="V61" s="21">
        <f>S61-[1]FPG!S61-'[1]C.E.'!S61</f>
        <v>0</v>
      </c>
      <c r="W61" s="22"/>
    </row>
    <row r="62" spans="1:23" collapsed="1" x14ac:dyDescent="0.2">
      <c r="A62" s="9"/>
      <c r="B62" s="49" t="s">
        <v>76</v>
      </c>
      <c r="C62" s="49" t="s">
        <v>77</v>
      </c>
      <c r="D62" s="50"/>
      <c r="E62" s="51" t="s">
        <v>57</v>
      </c>
      <c r="F62" s="52">
        <f>SUM(F63:F92)</f>
        <v>68070.349750998677</v>
      </c>
      <c r="G62" s="52">
        <f t="shared" ref="G62:Q62" si="12">SUM(G63:G92)</f>
        <v>68070.349750998677</v>
      </c>
      <c r="H62" s="52">
        <f t="shared" si="12"/>
        <v>68070.349750998677</v>
      </c>
      <c r="I62" s="52">
        <f t="shared" si="12"/>
        <v>68070.349750998677</v>
      </c>
      <c r="J62" s="52">
        <f t="shared" si="12"/>
        <v>71799.667750998677</v>
      </c>
      <c r="K62" s="52">
        <f t="shared" si="12"/>
        <v>71799.667750998677</v>
      </c>
      <c r="L62" s="52">
        <f t="shared" si="12"/>
        <v>71799.667750998677</v>
      </c>
      <c r="M62" s="52">
        <f t="shared" si="12"/>
        <v>71799.667750998677</v>
      </c>
      <c r="N62" s="52">
        <f t="shared" si="12"/>
        <v>71799.667750998677</v>
      </c>
      <c r="O62" s="52">
        <f t="shared" si="12"/>
        <v>71799.667750998677</v>
      </c>
      <c r="P62" s="52">
        <f t="shared" si="12"/>
        <v>71799.667750998677</v>
      </c>
      <c r="Q62" s="52">
        <f t="shared" si="12"/>
        <v>79299.667750998677</v>
      </c>
      <c r="R62" s="27"/>
      <c r="S62" s="28">
        <f t="shared" si="9"/>
        <v>854178.74101198395</v>
      </c>
      <c r="T62" s="29">
        <f>S62/$S$43</f>
        <v>7.2980947932657428E-2</v>
      </c>
      <c r="V62" s="21">
        <f>S62-[1]FPG!S62-'[1]C.E.'!S62</f>
        <v>0</v>
      </c>
      <c r="W62" s="22"/>
    </row>
    <row r="63" spans="1:23" outlineLevel="1" x14ac:dyDescent="0.2">
      <c r="A63" s="9"/>
      <c r="B63" s="48"/>
      <c r="C63" s="31">
        <v>400016</v>
      </c>
      <c r="D63" s="32" t="s">
        <v>78</v>
      </c>
      <c r="E63" s="33"/>
      <c r="F63" s="34">
        <f>[1]FPG!F63+'[1]C.E.'!F63+[1]SAP!F63</f>
        <v>5943.7</v>
      </c>
      <c r="G63" s="34">
        <f>[1]FPG!G63+'[1]C.E.'!G63+[1]SAP!G63</f>
        <v>5943.7</v>
      </c>
      <c r="H63" s="34">
        <f>[1]FPG!H63+'[1]C.E.'!H63+[1]SAP!H63</f>
        <v>5943.7</v>
      </c>
      <c r="I63" s="34">
        <f>[1]FPG!I63+'[1]C.E.'!I63+[1]SAP!I63</f>
        <v>5943.7</v>
      </c>
      <c r="J63" s="34">
        <f>[1]FPG!J63+'[1]C.E.'!J63+[1]SAP!J63</f>
        <v>5943.7</v>
      </c>
      <c r="K63" s="34">
        <f>[1]FPG!K63+'[1]C.E.'!K63+[1]SAP!K63</f>
        <v>5943.7</v>
      </c>
      <c r="L63" s="34">
        <f>[1]FPG!L63+'[1]C.E.'!L63+[1]SAP!L63</f>
        <v>5943.7</v>
      </c>
      <c r="M63" s="34">
        <f>[1]FPG!M63+'[1]C.E.'!M63+[1]SAP!M63</f>
        <v>5943.7</v>
      </c>
      <c r="N63" s="34">
        <f>[1]FPG!N63+'[1]C.E.'!N63+[1]SAP!N63</f>
        <v>5943.7</v>
      </c>
      <c r="O63" s="34">
        <f>[1]FPG!O63+'[1]C.E.'!O63+[1]SAP!O63</f>
        <v>5943.7</v>
      </c>
      <c r="P63" s="34">
        <f>[1]FPG!P63+'[1]C.E.'!P63+[1]SAP!P63</f>
        <v>5943.7</v>
      </c>
      <c r="Q63" s="34">
        <f>[1]FPG!Q63+'[1]C.E.'!Q63+[1]SAP!Q63</f>
        <v>5943.7</v>
      </c>
      <c r="R63" s="27"/>
      <c r="S63" s="35">
        <f t="shared" si="9"/>
        <v>71324.39999999998</v>
      </c>
      <c r="T63" s="36">
        <f t="shared" si="10"/>
        <v>6.0939497470530006E-3</v>
      </c>
      <c r="V63" s="21">
        <f>S63-[1]FPG!S63-'[1]C.E.'!S63</f>
        <v>0</v>
      </c>
      <c r="W63" s="22"/>
    </row>
    <row r="64" spans="1:23" outlineLevel="1" x14ac:dyDescent="0.2">
      <c r="A64" s="9"/>
      <c r="B64" s="48"/>
      <c r="C64" s="31">
        <v>400017</v>
      </c>
      <c r="D64" s="32" t="s">
        <v>79</v>
      </c>
      <c r="E64" s="33"/>
      <c r="F64" s="34">
        <f>[1]FPG!F64+'[1]C.E.'!F64+[1]SAP!F64</f>
        <v>31769.635450000009</v>
      </c>
      <c r="G64" s="34">
        <f>[1]FPG!G64+'[1]C.E.'!G64+[1]SAP!G64</f>
        <v>31769.635450000009</v>
      </c>
      <c r="H64" s="34">
        <f>[1]FPG!H64+'[1]C.E.'!H64+[1]SAP!H64</f>
        <v>31769.635450000009</v>
      </c>
      <c r="I64" s="34">
        <f>[1]FPG!I64+'[1]C.E.'!I64+[1]SAP!I64</f>
        <v>31769.635450000009</v>
      </c>
      <c r="J64" s="34">
        <f>[1]FPG!J64+'[1]C.E.'!J64+[1]SAP!J64</f>
        <v>31769.635450000009</v>
      </c>
      <c r="K64" s="34">
        <f>[1]FPG!K64+'[1]C.E.'!K64+[1]SAP!K64</f>
        <v>31769.635450000009</v>
      </c>
      <c r="L64" s="34">
        <f>[1]FPG!L64+'[1]C.E.'!L64+[1]SAP!L64</f>
        <v>31769.635450000009</v>
      </c>
      <c r="M64" s="34">
        <f>[1]FPG!M64+'[1]C.E.'!M64+[1]SAP!M64</f>
        <v>31769.635450000009</v>
      </c>
      <c r="N64" s="34">
        <f>[1]FPG!N64+'[1]C.E.'!N64+[1]SAP!N64</f>
        <v>31769.635450000009</v>
      </c>
      <c r="O64" s="34">
        <f>[1]FPG!O64+'[1]C.E.'!O64+[1]SAP!O64</f>
        <v>31769.635450000009</v>
      </c>
      <c r="P64" s="34">
        <f>[1]FPG!P64+'[1]C.E.'!P64+[1]SAP!P64</f>
        <v>31769.635450000009</v>
      </c>
      <c r="Q64" s="34">
        <f>[1]FPG!Q64+'[1]C.E.'!Q64+[1]SAP!Q64</f>
        <v>31769.635450000009</v>
      </c>
      <c r="R64" s="27"/>
      <c r="S64" s="35">
        <f t="shared" si="9"/>
        <v>381235.62540000008</v>
      </c>
      <c r="T64" s="36">
        <f t="shared" si="10"/>
        <v>3.2572734477597058E-2</v>
      </c>
      <c r="V64" s="21">
        <f>S64-[1]FPG!S64-'[1]C.E.'!S64</f>
        <v>0</v>
      </c>
      <c r="W64" s="22"/>
    </row>
    <row r="65" spans="1:23" outlineLevel="1" x14ac:dyDescent="0.2">
      <c r="A65" s="9"/>
      <c r="B65" s="48"/>
      <c r="C65" s="31">
        <v>400018</v>
      </c>
      <c r="D65" s="32" t="s">
        <v>80</v>
      </c>
      <c r="E65" s="33"/>
      <c r="F65" s="34">
        <f>[1]FPG!F65+'[1]C.E.'!F65+[1]SAP!F65</f>
        <v>2498.6640000000002</v>
      </c>
      <c r="G65" s="34">
        <f>[1]FPG!G65+'[1]C.E.'!G65+[1]SAP!G65</f>
        <v>2498.6640000000002</v>
      </c>
      <c r="H65" s="34">
        <f>[1]FPG!H65+'[1]C.E.'!H65+[1]SAP!H65</f>
        <v>2498.6640000000002</v>
      </c>
      <c r="I65" s="34">
        <f>[1]FPG!I65+'[1]C.E.'!I65+[1]SAP!I65</f>
        <v>2498.6640000000002</v>
      </c>
      <c r="J65" s="34">
        <f>[1]FPG!J65+'[1]C.E.'!J65+[1]SAP!J65</f>
        <v>2498.6640000000002</v>
      </c>
      <c r="K65" s="34">
        <f>[1]FPG!K65+'[1]C.E.'!K65+[1]SAP!K65</f>
        <v>2498.6640000000002</v>
      </c>
      <c r="L65" s="34">
        <f>[1]FPG!L65+'[1]C.E.'!L65+[1]SAP!L65</f>
        <v>2498.6640000000002</v>
      </c>
      <c r="M65" s="34">
        <f>[1]FPG!M65+'[1]C.E.'!M65+[1]SAP!M65</f>
        <v>2498.6640000000002</v>
      </c>
      <c r="N65" s="34">
        <f>[1]FPG!N65+'[1]C.E.'!N65+[1]SAP!N65</f>
        <v>2498.6640000000002</v>
      </c>
      <c r="O65" s="34">
        <f>[1]FPG!O65+'[1]C.E.'!O65+[1]SAP!O65</f>
        <v>2498.6640000000002</v>
      </c>
      <c r="P65" s="34">
        <f>[1]FPG!P65+'[1]C.E.'!P65+[1]SAP!P65</f>
        <v>2498.6640000000002</v>
      </c>
      <c r="Q65" s="34">
        <f>[1]FPG!Q65+'[1]C.E.'!Q65+[1]SAP!Q65</f>
        <v>2498.6640000000002</v>
      </c>
      <c r="R65" s="27"/>
      <c r="S65" s="35">
        <f t="shared" si="9"/>
        <v>29983.968000000004</v>
      </c>
      <c r="T65" s="36">
        <f t="shared" si="10"/>
        <v>2.5618272878460296E-3</v>
      </c>
      <c r="V65" s="21">
        <f>S65-[1]FPG!S65-'[1]C.E.'!S65</f>
        <v>0</v>
      </c>
      <c r="W65" s="22"/>
    </row>
    <row r="66" spans="1:23" hidden="1" outlineLevel="1" x14ac:dyDescent="0.2">
      <c r="A66" s="9"/>
      <c r="B66" s="48"/>
      <c r="C66" s="31">
        <v>400019</v>
      </c>
      <c r="D66" s="32" t="s">
        <v>81</v>
      </c>
      <c r="E66" s="33"/>
      <c r="F66" s="34">
        <f>[1]FPG!F66+'[1]C.E.'!F66+[1]SAP!F66</f>
        <v>0</v>
      </c>
      <c r="G66" s="34">
        <f>[1]FPG!G66+'[1]C.E.'!G66+[1]SAP!G66</f>
        <v>0</v>
      </c>
      <c r="H66" s="34">
        <f>[1]FPG!H66+'[1]C.E.'!H66+[1]SAP!H66</f>
        <v>0</v>
      </c>
      <c r="I66" s="34">
        <f>[1]FPG!I66+'[1]C.E.'!I66+[1]SAP!I66</f>
        <v>0</v>
      </c>
      <c r="J66" s="34">
        <f>[1]FPG!J66+'[1]C.E.'!J66+[1]SAP!J66</f>
        <v>0</v>
      </c>
      <c r="K66" s="34">
        <f>[1]FPG!K66+'[1]C.E.'!K66+[1]SAP!K66</f>
        <v>0</v>
      </c>
      <c r="L66" s="34">
        <f>[1]FPG!L66+'[1]C.E.'!L66+[1]SAP!L66</f>
        <v>0</v>
      </c>
      <c r="M66" s="34">
        <f>[1]FPG!M66+'[1]C.E.'!M66+[1]SAP!M66</f>
        <v>0</v>
      </c>
      <c r="N66" s="34">
        <f>[1]FPG!N66+'[1]C.E.'!N66+[1]SAP!N66</f>
        <v>0</v>
      </c>
      <c r="O66" s="34">
        <f>[1]FPG!O66+'[1]C.E.'!O66+[1]SAP!O66</f>
        <v>0</v>
      </c>
      <c r="P66" s="34">
        <f>[1]FPG!P66+'[1]C.E.'!P66+[1]SAP!P66</f>
        <v>0</v>
      </c>
      <c r="Q66" s="34">
        <f>[1]FPG!Q66+'[1]C.E.'!Q66+[1]SAP!Q66</f>
        <v>0</v>
      </c>
      <c r="R66" s="27"/>
      <c r="S66" s="35">
        <f t="shared" si="9"/>
        <v>0</v>
      </c>
      <c r="T66" s="36">
        <f t="shared" si="10"/>
        <v>0</v>
      </c>
      <c r="V66" s="21">
        <f>S66-[1]FPG!S66-'[1]C.E.'!S66</f>
        <v>0</v>
      </c>
      <c r="W66" s="22"/>
    </row>
    <row r="67" spans="1:23" outlineLevel="1" x14ac:dyDescent="0.2">
      <c r="A67" s="9"/>
      <c r="B67" s="48"/>
      <c r="C67" s="31">
        <v>400020</v>
      </c>
      <c r="D67" s="32" t="s">
        <v>82</v>
      </c>
      <c r="E67" s="33"/>
      <c r="F67" s="34">
        <f>[1]FPG!F67+'[1]C.E.'!F67+[1]SAP!F67</f>
        <v>22271.22</v>
      </c>
      <c r="G67" s="34">
        <f>[1]FPG!G67+'[1]C.E.'!G67+[1]SAP!G67</f>
        <v>22271.22</v>
      </c>
      <c r="H67" s="34">
        <f>[1]FPG!H67+'[1]C.E.'!H67+[1]SAP!H67</f>
        <v>22271.22</v>
      </c>
      <c r="I67" s="34">
        <f>[1]FPG!I67+'[1]C.E.'!I67+[1]SAP!I67</f>
        <v>22271.22</v>
      </c>
      <c r="J67" s="34">
        <f>[1]FPG!J67+'[1]C.E.'!J67+[1]SAP!J67</f>
        <v>26000.538</v>
      </c>
      <c r="K67" s="34">
        <f>[1]FPG!K67+'[1]C.E.'!K67+[1]SAP!K67</f>
        <v>26000.538</v>
      </c>
      <c r="L67" s="34">
        <f>[1]FPG!L67+'[1]C.E.'!L67+[1]SAP!L67</f>
        <v>26000.538</v>
      </c>
      <c r="M67" s="34">
        <f>[1]FPG!M67+'[1]C.E.'!M67+[1]SAP!M67</f>
        <v>26000.538</v>
      </c>
      <c r="N67" s="34">
        <f>[1]FPG!N67+'[1]C.E.'!N67+[1]SAP!N67</f>
        <v>26000.538</v>
      </c>
      <c r="O67" s="34">
        <f>[1]FPG!O67+'[1]C.E.'!O67+[1]SAP!O67</f>
        <v>26000.538</v>
      </c>
      <c r="P67" s="34">
        <f>[1]FPG!P67+'[1]C.E.'!P67+[1]SAP!P67</f>
        <v>26000.538</v>
      </c>
      <c r="Q67" s="34">
        <f>[1]FPG!Q67+'[1]C.E.'!Q67+[1]SAP!Q67</f>
        <v>26000.538</v>
      </c>
      <c r="R67" s="27"/>
      <c r="S67" s="35">
        <f t="shared" si="9"/>
        <v>297089.18400000001</v>
      </c>
      <c r="T67" s="36">
        <f t="shared" si="10"/>
        <v>2.5383270769736344E-2</v>
      </c>
      <c r="V67" s="21">
        <f>S67-[1]FPG!S67-'[1]C.E.'!S67</f>
        <v>0</v>
      </c>
      <c r="W67" s="22"/>
    </row>
    <row r="68" spans="1:23" hidden="1" outlineLevel="1" x14ac:dyDescent="0.2">
      <c r="A68" s="9"/>
      <c r="B68" s="48"/>
      <c r="C68" s="31">
        <v>400021</v>
      </c>
      <c r="D68" s="32" t="s">
        <v>83</v>
      </c>
      <c r="E68" s="33"/>
      <c r="F68" s="34">
        <f>[1]FPG!F68+'[1]C.E.'!F68+[1]SAP!F68</f>
        <v>0</v>
      </c>
      <c r="G68" s="34">
        <f>[1]FPG!G68+'[1]C.E.'!G68+[1]SAP!G68</f>
        <v>0</v>
      </c>
      <c r="H68" s="34">
        <f>[1]FPG!H68+'[1]C.E.'!H68+[1]SAP!H68</f>
        <v>0</v>
      </c>
      <c r="I68" s="34">
        <f>[1]FPG!I68+'[1]C.E.'!I68+[1]SAP!I68</f>
        <v>0</v>
      </c>
      <c r="J68" s="34">
        <f>[1]FPG!J68+'[1]C.E.'!J68+[1]SAP!J68</f>
        <v>0</v>
      </c>
      <c r="K68" s="34">
        <f>[1]FPG!K68+'[1]C.E.'!K68+[1]SAP!K68</f>
        <v>0</v>
      </c>
      <c r="L68" s="34">
        <f>[1]FPG!L68+'[1]C.E.'!L68+[1]SAP!L68</f>
        <v>0</v>
      </c>
      <c r="M68" s="34">
        <f>[1]FPG!M68+'[1]C.E.'!M68+[1]SAP!M68</f>
        <v>0</v>
      </c>
      <c r="N68" s="34">
        <f>[1]FPG!N68+'[1]C.E.'!N68+[1]SAP!N68</f>
        <v>0</v>
      </c>
      <c r="O68" s="34">
        <f>[1]FPG!O68+'[1]C.E.'!O68+[1]SAP!O68</f>
        <v>0</v>
      </c>
      <c r="P68" s="34">
        <f>[1]FPG!P68+'[1]C.E.'!P68+[1]SAP!P68</f>
        <v>0</v>
      </c>
      <c r="Q68" s="34">
        <f>[1]FPG!Q68+'[1]C.E.'!Q68+[1]SAP!Q68</f>
        <v>0</v>
      </c>
      <c r="R68" s="27"/>
      <c r="S68" s="35">
        <f t="shared" si="9"/>
        <v>0</v>
      </c>
      <c r="T68" s="36">
        <f t="shared" si="10"/>
        <v>0</v>
      </c>
      <c r="V68" s="21">
        <f>S68-[1]FPG!S68-'[1]C.E.'!S68</f>
        <v>0</v>
      </c>
      <c r="W68" s="22"/>
    </row>
    <row r="69" spans="1:23" hidden="1" outlineLevel="1" x14ac:dyDescent="0.2">
      <c r="A69" s="9"/>
      <c r="B69" s="48"/>
      <c r="C69" s="31">
        <v>400022</v>
      </c>
      <c r="D69" s="32" t="s">
        <v>84</v>
      </c>
      <c r="E69" s="33"/>
      <c r="F69" s="34">
        <f>[1]FPG!F69+'[1]C.E.'!F69+[1]SAP!F69</f>
        <v>0</v>
      </c>
      <c r="G69" s="34">
        <f>[1]FPG!G69+'[1]C.E.'!G69+[1]SAP!G69</f>
        <v>0</v>
      </c>
      <c r="H69" s="34">
        <f>[1]FPG!H69+'[1]C.E.'!H69+[1]SAP!H69</f>
        <v>0</v>
      </c>
      <c r="I69" s="34">
        <f>[1]FPG!I69+'[1]C.E.'!I69+[1]SAP!I69</f>
        <v>0</v>
      </c>
      <c r="J69" s="34">
        <f>[1]FPG!J69+'[1]C.E.'!J69+[1]SAP!J69</f>
        <v>0</v>
      </c>
      <c r="K69" s="34">
        <f>[1]FPG!K69+'[1]C.E.'!K69+[1]SAP!K69</f>
        <v>0</v>
      </c>
      <c r="L69" s="34">
        <f>[1]FPG!L69+'[1]C.E.'!L69+[1]SAP!L69</f>
        <v>0</v>
      </c>
      <c r="M69" s="34">
        <f>[1]FPG!M69+'[1]C.E.'!M69+[1]SAP!M69</f>
        <v>0</v>
      </c>
      <c r="N69" s="34">
        <f>[1]FPG!N69+'[1]C.E.'!N69+[1]SAP!N69</f>
        <v>0</v>
      </c>
      <c r="O69" s="34">
        <f>[1]FPG!O69+'[1]C.E.'!O69+[1]SAP!O69</f>
        <v>0</v>
      </c>
      <c r="P69" s="34">
        <f>[1]FPG!P69+'[1]C.E.'!P69+[1]SAP!P69</f>
        <v>0</v>
      </c>
      <c r="Q69" s="34">
        <f>[1]FPG!Q69+'[1]C.E.'!Q69+[1]SAP!Q69</f>
        <v>0</v>
      </c>
      <c r="R69" s="27"/>
      <c r="S69" s="35">
        <f t="shared" si="9"/>
        <v>0</v>
      </c>
      <c r="T69" s="36">
        <f t="shared" si="10"/>
        <v>0</v>
      </c>
      <c r="V69" s="21">
        <f>S69-[1]FPG!S69-'[1]C.E.'!S69</f>
        <v>0</v>
      </c>
      <c r="W69" s="22"/>
    </row>
    <row r="70" spans="1:23" hidden="1" outlineLevel="1" x14ac:dyDescent="0.2">
      <c r="A70" s="9"/>
      <c r="B70" s="48"/>
      <c r="C70" s="31">
        <v>400023</v>
      </c>
      <c r="D70" s="32" t="s">
        <v>85</v>
      </c>
      <c r="E70" s="33"/>
      <c r="F70" s="34">
        <f>[1]FPG!F70+'[1]C.E.'!F70+[1]SAP!F70</f>
        <v>0</v>
      </c>
      <c r="G70" s="34">
        <f>[1]FPG!G70+'[1]C.E.'!G70+[1]SAP!G70</f>
        <v>0</v>
      </c>
      <c r="H70" s="34">
        <f>[1]FPG!H70+'[1]C.E.'!H70+[1]SAP!H70</f>
        <v>0</v>
      </c>
      <c r="I70" s="34">
        <f>[1]FPG!I70+'[1]C.E.'!I70+[1]SAP!I70</f>
        <v>0</v>
      </c>
      <c r="J70" s="34">
        <f>[1]FPG!J70+'[1]C.E.'!J70+[1]SAP!J70</f>
        <v>0</v>
      </c>
      <c r="K70" s="34">
        <f>[1]FPG!K70+'[1]C.E.'!K70+[1]SAP!K70</f>
        <v>0</v>
      </c>
      <c r="L70" s="34">
        <f>[1]FPG!L70+'[1]C.E.'!L70+[1]SAP!L70</f>
        <v>0</v>
      </c>
      <c r="M70" s="34">
        <f>[1]FPG!M70+'[1]C.E.'!M70+[1]SAP!M70</f>
        <v>0</v>
      </c>
      <c r="N70" s="34">
        <f>[1]FPG!N70+'[1]C.E.'!N70+[1]SAP!N70</f>
        <v>0</v>
      </c>
      <c r="O70" s="34">
        <f>[1]FPG!O70+'[1]C.E.'!O70+[1]SAP!O70</f>
        <v>0</v>
      </c>
      <c r="P70" s="34">
        <f>[1]FPG!P70+'[1]C.E.'!P70+[1]SAP!P70</f>
        <v>0</v>
      </c>
      <c r="Q70" s="34">
        <f>[1]FPG!Q70+'[1]C.E.'!Q70+[1]SAP!Q70</f>
        <v>0</v>
      </c>
      <c r="R70" s="27"/>
      <c r="S70" s="35">
        <f t="shared" si="9"/>
        <v>0</v>
      </c>
      <c r="T70" s="36">
        <f t="shared" si="10"/>
        <v>0</v>
      </c>
      <c r="V70" s="21">
        <f>S70-[1]FPG!S70-'[1]C.E.'!S70</f>
        <v>0</v>
      </c>
      <c r="W70" s="22"/>
    </row>
    <row r="71" spans="1:23" outlineLevel="1" x14ac:dyDescent="0.2">
      <c r="A71" s="9"/>
      <c r="B71" s="48"/>
      <c r="C71" s="31">
        <v>400024</v>
      </c>
      <c r="D71" s="32" t="s">
        <v>86</v>
      </c>
      <c r="E71" s="33"/>
      <c r="F71" s="34">
        <f>[1]FPG!F71+'[1]C.E.'!F71+[1]SAP!F71</f>
        <v>5587.1303009986714</v>
      </c>
      <c r="G71" s="34">
        <f>[1]FPG!G71+'[1]C.E.'!G71+[1]SAP!G71</f>
        <v>5587.1303009986714</v>
      </c>
      <c r="H71" s="34">
        <f>[1]FPG!H71+'[1]C.E.'!H71+[1]SAP!H71</f>
        <v>5587.1303009986714</v>
      </c>
      <c r="I71" s="34">
        <f>[1]FPG!I71+'[1]C.E.'!I71+[1]SAP!I71</f>
        <v>5587.1303009986714</v>
      </c>
      <c r="J71" s="34">
        <f>[1]FPG!J71+'[1]C.E.'!J71+[1]SAP!J71</f>
        <v>5587.1303009986714</v>
      </c>
      <c r="K71" s="34">
        <f>[1]FPG!K71+'[1]C.E.'!K71+[1]SAP!K71</f>
        <v>5587.1303009986714</v>
      </c>
      <c r="L71" s="34">
        <f>[1]FPG!L71+'[1]C.E.'!L71+[1]SAP!L71</f>
        <v>5587.1303009986714</v>
      </c>
      <c r="M71" s="34">
        <f>[1]FPG!M71+'[1]C.E.'!M71+[1]SAP!M71</f>
        <v>5587.1303009986714</v>
      </c>
      <c r="N71" s="34">
        <f>[1]FPG!N71+'[1]C.E.'!N71+[1]SAP!N71</f>
        <v>5587.1303009986714</v>
      </c>
      <c r="O71" s="34">
        <f>[1]FPG!O71+'[1]C.E.'!O71+[1]SAP!O71</f>
        <v>5587.1303009986714</v>
      </c>
      <c r="P71" s="34">
        <f>[1]FPG!P71+'[1]C.E.'!P71+[1]SAP!P71</f>
        <v>5587.1303009986714</v>
      </c>
      <c r="Q71" s="34">
        <f>[1]FPG!Q71+'[1]C.E.'!Q71+[1]SAP!Q71</f>
        <v>13087.130300998671</v>
      </c>
      <c r="R71" s="27"/>
      <c r="S71" s="35">
        <f t="shared" si="9"/>
        <v>74545.563611984064</v>
      </c>
      <c r="T71" s="36">
        <f t="shared" si="10"/>
        <v>6.3691656504250129E-3</v>
      </c>
      <c r="V71" s="21">
        <f>S71-[1]FPG!S71-'[1]C.E.'!S71</f>
        <v>0</v>
      </c>
      <c r="W71" s="22"/>
    </row>
    <row r="72" spans="1:23" hidden="1" outlineLevel="1" x14ac:dyDescent="0.2">
      <c r="A72" s="9"/>
      <c r="B72" s="48"/>
      <c r="C72" s="31">
        <v>400025</v>
      </c>
      <c r="D72" s="32" t="s">
        <v>87</v>
      </c>
      <c r="E72" s="33"/>
      <c r="F72" s="34">
        <f>[1]FPG!F72+'[1]C.E.'!F72+[1]SAP!F72</f>
        <v>0</v>
      </c>
      <c r="G72" s="34">
        <f>[1]FPG!G72+'[1]C.E.'!G72+[1]SAP!G72</f>
        <v>0</v>
      </c>
      <c r="H72" s="34">
        <f>[1]FPG!H72+'[1]C.E.'!H72+[1]SAP!H72</f>
        <v>0</v>
      </c>
      <c r="I72" s="34">
        <f>[1]FPG!I72+'[1]C.E.'!I72+[1]SAP!I72</f>
        <v>0</v>
      </c>
      <c r="J72" s="34">
        <f>[1]FPG!J72+'[1]C.E.'!J72+[1]SAP!J72</f>
        <v>0</v>
      </c>
      <c r="K72" s="34">
        <f>[1]FPG!K72+'[1]C.E.'!K72+[1]SAP!K72</f>
        <v>0</v>
      </c>
      <c r="L72" s="34">
        <f>[1]FPG!L72+'[1]C.E.'!L72+[1]SAP!L72</f>
        <v>0</v>
      </c>
      <c r="M72" s="34">
        <f>[1]FPG!M72+'[1]C.E.'!M72+[1]SAP!M72</f>
        <v>0</v>
      </c>
      <c r="N72" s="34">
        <f>[1]FPG!N72+'[1]C.E.'!N72+[1]SAP!N72</f>
        <v>0</v>
      </c>
      <c r="O72" s="34">
        <f>[1]FPG!O72+'[1]C.E.'!O72+[1]SAP!O72</f>
        <v>0</v>
      </c>
      <c r="P72" s="34">
        <f>[1]FPG!P72+'[1]C.E.'!P72+[1]SAP!P72</f>
        <v>0</v>
      </c>
      <c r="Q72" s="34">
        <f>[1]FPG!Q72+'[1]C.E.'!Q72+[1]SAP!Q72</f>
        <v>0</v>
      </c>
      <c r="R72" s="27"/>
      <c r="S72" s="35">
        <f t="shared" si="9"/>
        <v>0</v>
      </c>
      <c r="T72" s="36">
        <f t="shared" si="10"/>
        <v>0</v>
      </c>
      <c r="V72" s="21">
        <f>S72-[1]FPG!S72-'[1]C.E.'!S72</f>
        <v>0</v>
      </c>
      <c r="W72" s="22"/>
    </row>
    <row r="73" spans="1:23" hidden="1" outlineLevel="1" x14ac:dyDescent="0.2">
      <c r="A73" s="9"/>
      <c r="B73" s="48"/>
      <c r="C73" s="31">
        <v>400026</v>
      </c>
      <c r="D73" s="32" t="s">
        <v>88</v>
      </c>
      <c r="E73" s="33"/>
      <c r="F73" s="34">
        <f>[1]FPG!F73+'[1]C.E.'!F73+[1]SAP!F73</f>
        <v>0</v>
      </c>
      <c r="G73" s="34">
        <f>[1]FPG!G73+'[1]C.E.'!G73+[1]SAP!G73</f>
        <v>0</v>
      </c>
      <c r="H73" s="34">
        <f>[1]FPG!H73+'[1]C.E.'!H73+[1]SAP!H73</f>
        <v>0</v>
      </c>
      <c r="I73" s="34">
        <f>[1]FPG!I73+'[1]C.E.'!I73+[1]SAP!I73</f>
        <v>0</v>
      </c>
      <c r="J73" s="34">
        <f>[1]FPG!J73+'[1]C.E.'!J73+[1]SAP!J73</f>
        <v>0</v>
      </c>
      <c r="K73" s="34">
        <f>[1]FPG!K73+'[1]C.E.'!K73+[1]SAP!K73</f>
        <v>0</v>
      </c>
      <c r="L73" s="34">
        <f>[1]FPG!L73+'[1]C.E.'!L73+[1]SAP!L73</f>
        <v>0</v>
      </c>
      <c r="M73" s="34">
        <f>[1]FPG!M73+'[1]C.E.'!M73+[1]SAP!M73</f>
        <v>0</v>
      </c>
      <c r="N73" s="34">
        <f>[1]FPG!N73+'[1]C.E.'!N73+[1]SAP!N73</f>
        <v>0</v>
      </c>
      <c r="O73" s="34">
        <f>[1]FPG!O73+'[1]C.E.'!O73+[1]SAP!O73</f>
        <v>0</v>
      </c>
      <c r="P73" s="34">
        <f>[1]FPG!P73+'[1]C.E.'!P73+[1]SAP!P73</f>
        <v>0</v>
      </c>
      <c r="Q73" s="34">
        <f>[1]FPG!Q73+'[1]C.E.'!Q73+[1]SAP!Q73</f>
        <v>0</v>
      </c>
      <c r="R73" s="27"/>
      <c r="S73" s="35">
        <f t="shared" si="9"/>
        <v>0</v>
      </c>
      <c r="T73" s="36">
        <f t="shared" si="10"/>
        <v>0</v>
      </c>
      <c r="V73" s="21">
        <f>S73-[1]FPG!S73-'[1]C.E.'!S73</f>
        <v>0</v>
      </c>
      <c r="W73" s="22"/>
    </row>
    <row r="74" spans="1:23" hidden="1" outlineLevel="1" x14ac:dyDescent="0.2">
      <c r="A74" s="9"/>
      <c r="B74" s="48"/>
      <c r="C74" s="31">
        <v>400027</v>
      </c>
      <c r="D74" s="32" t="s">
        <v>89</v>
      </c>
      <c r="E74" s="33"/>
      <c r="F74" s="34">
        <f>[1]FPG!F74+'[1]C.E.'!F74+[1]SAP!F74</f>
        <v>0</v>
      </c>
      <c r="G74" s="34">
        <f>[1]FPG!G74+'[1]C.E.'!G74+[1]SAP!G74</f>
        <v>0</v>
      </c>
      <c r="H74" s="34">
        <f>[1]FPG!H74+'[1]C.E.'!H74+[1]SAP!H74</f>
        <v>0</v>
      </c>
      <c r="I74" s="34">
        <f>[1]FPG!I74+'[1]C.E.'!I74+[1]SAP!I74</f>
        <v>0</v>
      </c>
      <c r="J74" s="34">
        <f>[1]FPG!J74+'[1]C.E.'!J74+[1]SAP!J74</f>
        <v>0</v>
      </c>
      <c r="K74" s="34">
        <f>[1]FPG!K74+'[1]C.E.'!K74+[1]SAP!K74</f>
        <v>0</v>
      </c>
      <c r="L74" s="34">
        <f>[1]FPG!L74+'[1]C.E.'!L74+[1]SAP!L74</f>
        <v>0</v>
      </c>
      <c r="M74" s="34">
        <f>[1]FPG!M74+'[1]C.E.'!M74+[1]SAP!M74</f>
        <v>0</v>
      </c>
      <c r="N74" s="34">
        <f>[1]FPG!N74+'[1]C.E.'!N74+[1]SAP!N74</f>
        <v>0</v>
      </c>
      <c r="O74" s="34">
        <f>[1]FPG!O74+'[1]C.E.'!O74+[1]SAP!O74</f>
        <v>0</v>
      </c>
      <c r="P74" s="34">
        <f>[1]FPG!P74+'[1]C.E.'!P74+[1]SAP!P74</f>
        <v>0</v>
      </c>
      <c r="Q74" s="34">
        <f>[1]FPG!Q74+'[1]C.E.'!Q74+[1]SAP!Q74</f>
        <v>0</v>
      </c>
      <c r="R74" s="27"/>
      <c r="S74" s="35">
        <f t="shared" si="9"/>
        <v>0</v>
      </c>
      <c r="T74" s="36">
        <f t="shared" si="10"/>
        <v>0</v>
      </c>
      <c r="V74" s="21">
        <f>S74-[1]FPG!S74-'[1]C.E.'!S74</f>
        <v>0</v>
      </c>
      <c r="W74" s="22"/>
    </row>
    <row r="75" spans="1:23" hidden="1" outlineLevel="1" x14ac:dyDescent="0.2">
      <c r="A75" s="9"/>
      <c r="B75" s="48"/>
      <c r="C75" s="31">
        <v>400028</v>
      </c>
      <c r="D75" s="32" t="s">
        <v>90</v>
      </c>
      <c r="E75" s="33"/>
      <c r="F75" s="34">
        <f>[1]FPG!F75+'[1]C.E.'!F75+[1]SAP!F75</f>
        <v>0</v>
      </c>
      <c r="G75" s="34">
        <f>[1]FPG!G75+'[1]C.E.'!G75+[1]SAP!G75</f>
        <v>0</v>
      </c>
      <c r="H75" s="34">
        <f>[1]FPG!H75+'[1]C.E.'!H75+[1]SAP!H75</f>
        <v>0</v>
      </c>
      <c r="I75" s="34">
        <f>[1]FPG!I75+'[1]C.E.'!I75+[1]SAP!I75</f>
        <v>0</v>
      </c>
      <c r="J75" s="34">
        <f>[1]FPG!J75+'[1]C.E.'!J75+[1]SAP!J75</f>
        <v>0</v>
      </c>
      <c r="K75" s="34">
        <f>[1]FPG!K75+'[1]C.E.'!K75+[1]SAP!K75</f>
        <v>0</v>
      </c>
      <c r="L75" s="34">
        <f>[1]FPG!L75+'[1]C.E.'!L75+[1]SAP!L75</f>
        <v>0</v>
      </c>
      <c r="M75" s="34">
        <f>[1]FPG!M75+'[1]C.E.'!M75+[1]SAP!M75</f>
        <v>0</v>
      </c>
      <c r="N75" s="34">
        <f>[1]FPG!N75+'[1]C.E.'!N75+[1]SAP!N75</f>
        <v>0</v>
      </c>
      <c r="O75" s="34">
        <f>[1]FPG!O75+'[1]C.E.'!O75+[1]SAP!O75</f>
        <v>0</v>
      </c>
      <c r="P75" s="34">
        <f>[1]FPG!P75+'[1]C.E.'!P75+[1]SAP!P75</f>
        <v>0</v>
      </c>
      <c r="Q75" s="34">
        <f>[1]FPG!Q75+'[1]C.E.'!Q75+[1]SAP!Q75</f>
        <v>0</v>
      </c>
      <c r="R75" s="27"/>
      <c r="S75" s="35">
        <f t="shared" si="9"/>
        <v>0</v>
      </c>
      <c r="T75" s="36">
        <f t="shared" si="10"/>
        <v>0</v>
      </c>
      <c r="V75" s="21">
        <f>S75-[1]FPG!S75-'[1]C.E.'!S75</f>
        <v>0</v>
      </c>
      <c r="W75" s="22"/>
    </row>
    <row r="76" spans="1:23" hidden="1" outlineLevel="1" x14ac:dyDescent="0.2">
      <c r="A76" s="9"/>
      <c r="B76" s="48"/>
      <c r="C76" s="31">
        <v>400029</v>
      </c>
      <c r="D76" s="32" t="s">
        <v>91</v>
      </c>
      <c r="E76" s="33"/>
      <c r="F76" s="34">
        <f>[1]FPG!F76+'[1]C.E.'!F76+[1]SAP!F76</f>
        <v>0</v>
      </c>
      <c r="G76" s="34">
        <f>[1]FPG!G76+'[1]C.E.'!G76+[1]SAP!G76</f>
        <v>0</v>
      </c>
      <c r="H76" s="34">
        <f>[1]FPG!H76+'[1]C.E.'!H76+[1]SAP!H76</f>
        <v>0</v>
      </c>
      <c r="I76" s="34">
        <f>[1]FPG!I76+'[1]C.E.'!I76+[1]SAP!I76</f>
        <v>0</v>
      </c>
      <c r="J76" s="34">
        <f>[1]FPG!J76+'[1]C.E.'!J76+[1]SAP!J76</f>
        <v>0</v>
      </c>
      <c r="K76" s="34">
        <f>[1]FPG!K76+'[1]C.E.'!K76+[1]SAP!K76</f>
        <v>0</v>
      </c>
      <c r="L76" s="34">
        <f>[1]FPG!L76+'[1]C.E.'!L76+[1]SAP!L76</f>
        <v>0</v>
      </c>
      <c r="M76" s="34">
        <f>[1]FPG!M76+'[1]C.E.'!M76+[1]SAP!M76</f>
        <v>0</v>
      </c>
      <c r="N76" s="34">
        <f>[1]FPG!N76+'[1]C.E.'!N76+[1]SAP!N76</f>
        <v>0</v>
      </c>
      <c r="O76" s="34">
        <f>[1]FPG!O76+'[1]C.E.'!O76+[1]SAP!O76</f>
        <v>0</v>
      </c>
      <c r="P76" s="34">
        <f>[1]FPG!P76+'[1]C.E.'!P76+[1]SAP!P76</f>
        <v>0</v>
      </c>
      <c r="Q76" s="34">
        <f>[1]FPG!Q76+'[1]C.E.'!Q76+[1]SAP!Q76</f>
        <v>0</v>
      </c>
      <c r="R76" s="27"/>
      <c r="S76" s="35">
        <f t="shared" si="9"/>
        <v>0</v>
      </c>
      <c r="T76" s="36">
        <f t="shared" si="10"/>
        <v>0</v>
      </c>
      <c r="V76" s="21">
        <f>S76-[1]FPG!S76-'[1]C.E.'!S76</f>
        <v>0</v>
      </c>
      <c r="W76" s="22"/>
    </row>
    <row r="77" spans="1:23" hidden="1" outlineLevel="1" x14ac:dyDescent="0.2">
      <c r="A77" s="9"/>
      <c r="B77" s="48"/>
      <c r="C77" s="31">
        <v>400030</v>
      </c>
      <c r="D77" s="32" t="s">
        <v>92</v>
      </c>
      <c r="E77" s="33"/>
      <c r="F77" s="34">
        <f>[1]FPG!F77+'[1]C.E.'!F77+[1]SAP!F77</f>
        <v>0</v>
      </c>
      <c r="G77" s="34">
        <f>[1]FPG!G77+'[1]C.E.'!G77+[1]SAP!G77</f>
        <v>0</v>
      </c>
      <c r="H77" s="34">
        <f>[1]FPG!H77+'[1]C.E.'!H77+[1]SAP!H77</f>
        <v>0</v>
      </c>
      <c r="I77" s="34">
        <f>[1]FPG!I77+'[1]C.E.'!I77+[1]SAP!I77</f>
        <v>0</v>
      </c>
      <c r="J77" s="34">
        <f>[1]FPG!J77+'[1]C.E.'!J77+[1]SAP!J77</f>
        <v>0</v>
      </c>
      <c r="K77" s="34">
        <f>[1]FPG!K77+'[1]C.E.'!K77+[1]SAP!K77</f>
        <v>0</v>
      </c>
      <c r="L77" s="34">
        <f>[1]FPG!L77+'[1]C.E.'!L77+[1]SAP!L77</f>
        <v>0</v>
      </c>
      <c r="M77" s="34">
        <f>[1]FPG!M77+'[1]C.E.'!M77+[1]SAP!M77</f>
        <v>0</v>
      </c>
      <c r="N77" s="34">
        <f>[1]FPG!N77+'[1]C.E.'!N77+[1]SAP!N77</f>
        <v>0</v>
      </c>
      <c r="O77" s="34">
        <f>[1]FPG!O77+'[1]C.E.'!O77+[1]SAP!O77</f>
        <v>0</v>
      </c>
      <c r="P77" s="34">
        <f>[1]FPG!P77+'[1]C.E.'!P77+[1]SAP!P77</f>
        <v>0</v>
      </c>
      <c r="Q77" s="34">
        <f>[1]FPG!Q77+'[1]C.E.'!Q77+[1]SAP!Q77</f>
        <v>0</v>
      </c>
      <c r="R77" s="27"/>
      <c r="S77" s="35">
        <f t="shared" si="9"/>
        <v>0</v>
      </c>
      <c r="T77" s="36">
        <f t="shared" si="10"/>
        <v>0</v>
      </c>
      <c r="V77" s="21">
        <f>S77-[1]FPG!S77-'[1]C.E.'!S77</f>
        <v>0</v>
      </c>
      <c r="W77" s="22"/>
    </row>
    <row r="78" spans="1:23" hidden="1" outlineLevel="1" x14ac:dyDescent="0.2">
      <c r="A78" s="9"/>
      <c r="B78" s="48"/>
      <c r="C78" s="31">
        <v>400031</v>
      </c>
      <c r="D78" s="32" t="s">
        <v>93</v>
      </c>
      <c r="E78" s="33"/>
      <c r="F78" s="34">
        <f>[1]FPG!F78+'[1]C.E.'!F78+[1]SAP!F78</f>
        <v>0</v>
      </c>
      <c r="G78" s="34">
        <f>[1]FPG!G78+'[1]C.E.'!G78+[1]SAP!G78</f>
        <v>0</v>
      </c>
      <c r="H78" s="34">
        <f>[1]FPG!H78+'[1]C.E.'!H78+[1]SAP!H78</f>
        <v>0</v>
      </c>
      <c r="I78" s="34">
        <f>[1]FPG!I78+'[1]C.E.'!I78+[1]SAP!I78</f>
        <v>0</v>
      </c>
      <c r="J78" s="34">
        <f>[1]FPG!J78+'[1]C.E.'!J78+[1]SAP!J78</f>
        <v>0</v>
      </c>
      <c r="K78" s="34">
        <f>[1]FPG!K78+'[1]C.E.'!K78+[1]SAP!K78</f>
        <v>0</v>
      </c>
      <c r="L78" s="34">
        <f>[1]FPG!L78+'[1]C.E.'!L78+[1]SAP!L78</f>
        <v>0</v>
      </c>
      <c r="M78" s="34">
        <f>[1]FPG!M78+'[1]C.E.'!M78+[1]SAP!M78</f>
        <v>0</v>
      </c>
      <c r="N78" s="34">
        <f>[1]FPG!N78+'[1]C.E.'!N78+[1]SAP!N78</f>
        <v>0</v>
      </c>
      <c r="O78" s="34">
        <f>[1]FPG!O78+'[1]C.E.'!O78+[1]SAP!O78</f>
        <v>0</v>
      </c>
      <c r="P78" s="34">
        <f>[1]FPG!P78+'[1]C.E.'!P78+[1]SAP!P78</f>
        <v>0</v>
      </c>
      <c r="Q78" s="34">
        <f>[1]FPG!Q78+'[1]C.E.'!Q78+[1]SAP!Q78</f>
        <v>0</v>
      </c>
      <c r="R78" s="27"/>
      <c r="S78" s="35">
        <f t="shared" si="9"/>
        <v>0</v>
      </c>
      <c r="T78" s="36">
        <f t="shared" si="10"/>
        <v>0</v>
      </c>
      <c r="V78" s="21">
        <f>S78-[1]FPG!S78-'[1]C.E.'!S78</f>
        <v>0</v>
      </c>
      <c r="W78" s="22"/>
    </row>
    <row r="79" spans="1:23" hidden="1" outlineLevel="1" x14ac:dyDescent="0.2">
      <c r="A79" s="9"/>
      <c r="B79" s="48"/>
      <c r="C79" s="31">
        <v>400032</v>
      </c>
      <c r="D79" s="32" t="s">
        <v>94</v>
      </c>
      <c r="E79" s="33"/>
      <c r="F79" s="34">
        <f>[1]FPG!F79+'[1]C.E.'!F79+[1]SAP!F79</f>
        <v>0</v>
      </c>
      <c r="G79" s="34">
        <f>[1]FPG!G79+'[1]C.E.'!G79+[1]SAP!G79</f>
        <v>0</v>
      </c>
      <c r="H79" s="34">
        <f>[1]FPG!H79+'[1]C.E.'!H79+[1]SAP!H79</f>
        <v>0</v>
      </c>
      <c r="I79" s="34">
        <f>[1]FPG!I79+'[1]C.E.'!I79+[1]SAP!I79</f>
        <v>0</v>
      </c>
      <c r="J79" s="34">
        <f>[1]FPG!J79+'[1]C.E.'!J79+[1]SAP!J79</f>
        <v>0</v>
      </c>
      <c r="K79" s="34">
        <f>[1]FPG!K79+'[1]C.E.'!K79+[1]SAP!K79</f>
        <v>0</v>
      </c>
      <c r="L79" s="34">
        <f>[1]FPG!L79+'[1]C.E.'!L79+[1]SAP!L79</f>
        <v>0</v>
      </c>
      <c r="M79" s="34">
        <f>[1]FPG!M79+'[1]C.E.'!M79+[1]SAP!M79</f>
        <v>0</v>
      </c>
      <c r="N79" s="34">
        <f>[1]FPG!N79+'[1]C.E.'!N79+[1]SAP!N79</f>
        <v>0</v>
      </c>
      <c r="O79" s="34">
        <f>[1]FPG!O79+'[1]C.E.'!O79+[1]SAP!O79</f>
        <v>0</v>
      </c>
      <c r="P79" s="34">
        <f>[1]FPG!P79+'[1]C.E.'!P79+[1]SAP!P79</f>
        <v>0</v>
      </c>
      <c r="Q79" s="34">
        <f>[1]FPG!Q79+'[1]C.E.'!Q79+[1]SAP!Q79</f>
        <v>0</v>
      </c>
      <c r="R79" s="27"/>
      <c r="S79" s="35">
        <f t="shared" si="9"/>
        <v>0</v>
      </c>
      <c r="T79" s="36">
        <f t="shared" si="10"/>
        <v>0</v>
      </c>
      <c r="V79" s="21">
        <f>S79-[1]FPG!S79-'[1]C.E.'!S79</f>
        <v>0</v>
      </c>
      <c r="W79" s="22"/>
    </row>
    <row r="80" spans="1:23" hidden="1" outlineLevel="1" x14ac:dyDescent="0.2">
      <c r="A80" s="9"/>
      <c r="B80" s="48"/>
      <c r="C80" s="31">
        <v>400033</v>
      </c>
      <c r="D80" s="32" t="s">
        <v>58</v>
      </c>
      <c r="E80" s="33"/>
      <c r="F80" s="34">
        <f>[1]FPG!F80+'[1]C.E.'!F80+[1]SAP!F80</f>
        <v>0</v>
      </c>
      <c r="G80" s="34">
        <f>[1]FPG!G80+'[1]C.E.'!G80+[1]SAP!G80</f>
        <v>0</v>
      </c>
      <c r="H80" s="34">
        <f>[1]FPG!H80+'[1]C.E.'!H80+[1]SAP!H80</f>
        <v>0</v>
      </c>
      <c r="I80" s="34">
        <f>[1]FPG!I80+'[1]C.E.'!I80+[1]SAP!I80</f>
        <v>0</v>
      </c>
      <c r="J80" s="34">
        <f>[1]FPG!J80+'[1]C.E.'!J80+[1]SAP!J80</f>
        <v>0</v>
      </c>
      <c r="K80" s="34">
        <f>[1]FPG!K80+'[1]C.E.'!K80+[1]SAP!K80</f>
        <v>0</v>
      </c>
      <c r="L80" s="34">
        <f>[1]FPG!L80+'[1]C.E.'!L80+[1]SAP!L80</f>
        <v>0</v>
      </c>
      <c r="M80" s="34">
        <f>[1]FPG!M80+'[1]C.E.'!M80+[1]SAP!M80</f>
        <v>0</v>
      </c>
      <c r="N80" s="34">
        <f>[1]FPG!N80+'[1]C.E.'!N80+[1]SAP!N80</f>
        <v>0</v>
      </c>
      <c r="O80" s="34">
        <f>[1]FPG!O80+'[1]C.E.'!O80+[1]SAP!O80</f>
        <v>0</v>
      </c>
      <c r="P80" s="34">
        <f>[1]FPG!P80+'[1]C.E.'!P80+[1]SAP!P80</f>
        <v>0</v>
      </c>
      <c r="Q80" s="34">
        <f>[1]FPG!Q80+'[1]C.E.'!Q80+[1]SAP!Q80</f>
        <v>0</v>
      </c>
      <c r="R80" s="27"/>
      <c r="S80" s="35">
        <f t="shared" si="9"/>
        <v>0</v>
      </c>
      <c r="T80" s="36">
        <f t="shared" si="10"/>
        <v>0</v>
      </c>
      <c r="V80" s="21">
        <f>S80-[1]FPG!S80-'[1]C.E.'!S80</f>
        <v>0</v>
      </c>
      <c r="W80" s="22"/>
    </row>
    <row r="81" spans="1:23" hidden="1" outlineLevel="1" x14ac:dyDescent="0.2">
      <c r="A81" s="9"/>
      <c r="B81" s="48"/>
      <c r="C81" s="31">
        <v>400034</v>
      </c>
      <c r="D81" s="32" t="s">
        <v>59</v>
      </c>
      <c r="E81" s="33"/>
      <c r="F81" s="34">
        <f>[1]FPG!F81+'[1]C.E.'!F81+[1]SAP!F81</f>
        <v>0</v>
      </c>
      <c r="G81" s="34">
        <f>[1]FPG!G81+'[1]C.E.'!G81+[1]SAP!G81</f>
        <v>0</v>
      </c>
      <c r="H81" s="34">
        <f>[1]FPG!H81+'[1]C.E.'!H81+[1]SAP!H81</f>
        <v>0</v>
      </c>
      <c r="I81" s="34">
        <f>[1]FPG!I81+'[1]C.E.'!I81+[1]SAP!I81</f>
        <v>0</v>
      </c>
      <c r="J81" s="34">
        <f>[1]FPG!J81+'[1]C.E.'!J81+[1]SAP!J81</f>
        <v>0</v>
      </c>
      <c r="K81" s="34">
        <f>[1]FPG!K81+'[1]C.E.'!K81+[1]SAP!K81</f>
        <v>0</v>
      </c>
      <c r="L81" s="34">
        <f>[1]FPG!L81+'[1]C.E.'!L81+[1]SAP!L81</f>
        <v>0</v>
      </c>
      <c r="M81" s="34">
        <f>[1]FPG!M81+'[1]C.E.'!M81+[1]SAP!M81</f>
        <v>0</v>
      </c>
      <c r="N81" s="34">
        <f>[1]FPG!N81+'[1]C.E.'!N81+[1]SAP!N81</f>
        <v>0</v>
      </c>
      <c r="O81" s="34">
        <f>[1]FPG!O81+'[1]C.E.'!O81+[1]SAP!O81</f>
        <v>0</v>
      </c>
      <c r="P81" s="34">
        <f>[1]FPG!P81+'[1]C.E.'!P81+[1]SAP!P81</f>
        <v>0</v>
      </c>
      <c r="Q81" s="34">
        <f>[1]FPG!Q81+'[1]C.E.'!Q81+[1]SAP!Q81</f>
        <v>0</v>
      </c>
      <c r="R81" s="27"/>
      <c r="S81" s="35">
        <f t="shared" si="9"/>
        <v>0</v>
      </c>
      <c r="T81" s="36">
        <f t="shared" si="10"/>
        <v>0</v>
      </c>
      <c r="V81" s="21">
        <f>S81-[1]FPG!S81-'[1]C.E.'!S81</f>
        <v>0</v>
      </c>
      <c r="W81" s="22"/>
    </row>
    <row r="82" spans="1:23" hidden="1" outlineLevel="1" x14ac:dyDescent="0.2">
      <c r="A82" s="9"/>
      <c r="B82" s="48"/>
      <c r="C82" s="31">
        <v>400035</v>
      </c>
      <c r="D82" s="32" t="s">
        <v>60</v>
      </c>
      <c r="E82" s="33"/>
      <c r="F82" s="34">
        <f>[1]FPG!F82+'[1]C.E.'!F82+[1]SAP!F82</f>
        <v>0</v>
      </c>
      <c r="G82" s="34">
        <f>[1]FPG!G82+'[1]C.E.'!G82+[1]SAP!G82</f>
        <v>0</v>
      </c>
      <c r="H82" s="34">
        <f>[1]FPG!H82+'[1]C.E.'!H82+[1]SAP!H82</f>
        <v>0</v>
      </c>
      <c r="I82" s="34">
        <f>[1]FPG!I82+'[1]C.E.'!I82+[1]SAP!I82</f>
        <v>0</v>
      </c>
      <c r="J82" s="34">
        <f>[1]FPG!J82+'[1]C.E.'!J82+[1]SAP!J82</f>
        <v>0</v>
      </c>
      <c r="K82" s="34">
        <f>[1]FPG!K82+'[1]C.E.'!K82+[1]SAP!K82</f>
        <v>0</v>
      </c>
      <c r="L82" s="34">
        <f>[1]FPG!L82+'[1]C.E.'!L82+[1]SAP!L82</f>
        <v>0</v>
      </c>
      <c r="M82" s="34">
        <f>[1]FPG!M82+'[1]C.E.'!M82+[1]SAP!M82</f>
        <v>0</v>
      </c>
      <c r="N82" s="34">
        <f>[1]FPG!N82+'[1]C.E.'!N82+[1]SAP!N82</f>
        <v>0</v>
      </c>
      <c r="O82" s="34">
        <f>[1]FPG!O82+'[1]C.E.'!O82+[1]SAP!O82</f>
        <v>0</v>
      </c>
      <c r="P82" s="34">
        <f>[1]FPG!P82+'[1]C.E.'!P82+[1]SAP!P82</f>
        <v>0</v>
      </c>
      <c r="Q82" s="34">
        <f>[1]FPG!Q82+'[1]C.E.'!Q82+[1]SAP!Q82</f>
        <v>0</v>
      </c>
      <c r="R82" s="27"/>
      <c r="S82" s="35">
        <f t="shared" si="9"/>
        <v>0</v>
      </c>
      <c r="T82" s="36">
        <f t="shared" si="10"/>
        <v>0</v>
      </c>
      <c r="V82" s="21">
        <f>S82-[1]FPG!S82-'[1]C.E.'!S82</f>
        <v>0</v>
      </c>
      <c r="W82" s="22"/>
    </row>
    <row r="83" spans="1:23" hidden="1" outlineLevel="1" x14ac:dyDescent="0.2">
      <c r="A83" s="9"/>
      <c r="B83" s="48"/>
      <c r="C83" s="31">
        <v>400036</v>
      </c>
      <c r="D83" s="32" t="s">
        <v>61</v>
      </c>
      <c r="E83" s="33"/>
      <c r="F83" s="34">
        <f>[1]FPG!F83+'[1]C.E.'!F83+[1]SAP!F83</f>
        <v>0</v>
      </c>
      <c r="G83" s="34">
        <f>[1]FPG!G83+'[1]C.E.'!G83+[1]SAP!G83</f>
        <v>0</v>
      </c>
      <c r="H83" s="34">
        <f>[1]FPG!H83+'[1]C.E.'!H83+[1]SAP!H83</f>
        <v>0</v>
      </c>
      <c r="I83" s="34">
        <f>[1]FPG!I83+'[1]C.E.'!I83+[1]SAP!I83</f>
        <v>0</v>
      </c>
      <c r="J83" s="34">
        <f>[1]FPG!J83+'[1]C.E.'!J83+[1]SAP!J83</f>
        <v>0</v>
      </c>
      <c r="K83" s="34">
        <f>[1]FPG!K83+'[1]C.E.'!K83+[1]SAP!K83</f>
        <v>0</v>
      </c>
      <c r="L83" s="34">
        <f>[1]FPG!L83+'[1]C.E.'!L83+[1]SAP!L83</f>
        <v>0</v>
      </c>
      <c r="M83" s="34">
        <f>[1]FPG!M83+'[1]C.E.'!M83+[1]SAP!M83</f>
        <v>0</v>
      </c>
      <c r="N83" s="34">
        <f>[1]FPG!N83+'[1]C.E.'!N83+[1]SAP!N83</f>
        <v>0</v>
      </c>
      <c r="O83" s="34">
        <f>[1]FPG!O83+'[1]C.E.'!O83+[1]SAP!O83</f>
        <v>0</v>
      </c>
      <c r="P83" s="34">
        <f>[1]FPG!P83+'[1]C.E.'!P83+[1]SAP!P83</f>
        <v>0</v>
      </c>
      <c r="Q83" s="34">
        <f>[1]FPG!Q83+'[1]C.E.'!Q83+[1]SAP!Q83</f>
        <v>0</v>
      </c>
      <c r="R83" s="27"/>
      <c r="S83" s="35">
        <f t="shared" si="9"/>
        <v>0</v>
      </c>
      <c r="T83" s="36">
        <f t="shared" si="10"/>
        <v>0</v>
      </c>
      <c r="V83" s="21">
        <f>S83-[1]FPG!S83-'[1]C.E.'!S83</f>
        <v>0</v>
      </c>
      <c r="W83" s="22"/>
    </row>
    <row r="84" spans="1:23" hidden="1" outlineLevel="1" x14ac:dyDescent="0.2">
      <c r="A84" s="9"/>
      <c r="B84" s="48"/>
      <c r="C84" s="31">
        <v>400037</v>
      </c>
      <c r="D84" s="32" t="s">
        <v>62</v>
      </c>
      <c r="E84" s="33"/>
      <c r="F84" s="34">
        <f>[1]FPG!F84+'[1]C.E.'!F84+[1]SAP!F84</f>
        <v>0</v>
      </c>
      <c r="G84" s="34">
        <f>[1]FPG!G84+'[1]C.E.'!G84+[1]SAP!G84</f>
        <v>0</v>
      </c>
      <c r="H84" s="34">
        <f>[1]FPG!H84+'[1]C.E.'!H84+[1]SAP!H84</f>
        <v>0</v>
      </c>
      <c r="I84" s="34">
        <f>[1]FPG!I84+'[1]C.E.'!I84+[1]SAP!I84</f>
        <v>0</v>
      </c>
      <c r="J84" s="34">
        <f>[1]FPG!J84+'[1]C.E.'!J84+[1]SAP!J84</f>
        <v>0</v>
      </c>
      <c r="K84" s="34">
        <f>[1]FPG!K84+'[1]C.E.'!K84+[1]SAP!K84</f>
        <v>0</v>
      </c>
      <c r="L84" s="34">
        <f>[1]FPG!L84+'[1]C.E.'!L84+[1]SAP!L84</f>
        <v>0</v>
      </c>
      <c r="M84" s="34">
        <f>[1]FPG!M84+'[1]C.E.'!M84+[1]SAP!M84</f>
        <v>0</v>
      </c>
      <c r="N84" s="34">
        <f>[1]FPG!N84+'[1]C.E.'!N84+[1]SAP!N84</f>
        <v>0</v>
      </c>
      <c r="O84" s="34">
        <f>[1]FPG!O84+'[1]C.E.'!O84+[1]SAP!O84</f>
        <v>0</v>
      </c>
      <c r="P84" s="34">
        <f>[1]FPG!P84+'[1]C.E.'!P84+[1]SAP!P84</f>
        <v>0</v>
      </c>
      <c r="Q84" s="34">
        <f>[1]FPG!Q84+'[1]C.E.'!Q84+[1]SAP!Q84</f>
        <v>0</v>
      </c>
      <c r="R84" s="27"/>
      <c r="S84" s="35">
        <f t="shared" si="9"/>
        <v>0</v>
      </c>
      <c r="T84" s="36">
        <f t="shared" si="10"/>
        <v>0</v>
      </c>
      <c r="V84" s="21">
        <f>S84-[1]FPG!S84-'[1]C.E.'!S84</f>
        <v>0</v>
      </c>
      <c r="W84" s="22"/>
    </row>
    <row r="85" spans="1:23" hidden="1" outlineLevel="1" x14ac:dyDescent="0.2">
      <c r="A85" s="9"/>
      <c r="B85" s="48"/>
      <c r="C85" s="31">
        <v>400038</v>
      </c>
      <c r="D85" s="44" t="s">
        <v>95</v>
      </c>
      <c r="E85" s="33"/>
      <c r="F85" s="34">
        <f>[1]FPG!F85+'[1]C.E.'!F85+[1]SAP!F85</f>
        <v>0</v>
      </c>
      <c r="G85" s="34">
        <f>[1]FPG!G85+'[1]C.E.'!G85+[1]SAP!G85</f>
        <v>0</v>
      </c>
      <c r="H85" s="34">
        <f>[1]FPG!H85+'[1]C.E.'!H85+[1]SAP!H85</f>
        <v>0</v>
      </c>
      <c r="I85" s="34">
        <f>[1]FPG!I85+'[1]C.E.'!I85+[1]SAP!I85</f>
        <v>0</v>
      </c>
      <c r="J85" s="34">
        <f>[1]FPG!J85+'[1]C.E.'!J85+[1]SAP!J85</f>
        <v>0</v>
      </c>
      <c r="K85" s="34">
        <f>[1]FPG!K85+'[1]C.E.'!K85+[1]SAP!K85</f>
        <v>0</v>
      </c>
      <c r="L85" s="34">
        <f>[1]FPG!L85+'[1]C.E.'!L85+[1]SAP!L85</f>
        <v>0</v>
      </c>
      <c r="M85" s="34">
        <f>[1]FPG!M85+'[1]C.E.'!M85+[1]SAP!M85</f>
        <v>0</v>
      </c>
      <c r="N85" s="34">
        <f>[1]FPG!N85+'[1]C.E.'!N85+[1]SAP!N85</f>
        <v>0</v>
      </c>
      <c r="O85" s="34">
        <f>[1]FPG!O85+'[1]C.E.'!O85+[1]SAP!O85</f>
        <v>0</v>
      </c>
      <c r="P85" s="34">
        <f>[1]FPG!P85+'[1]C.E.'!P85+[1]SAP!P85</f>
        <v>0</v>
      </c>
      <c r="Q85" s="34">
        <f>[1]FPG!Q85+'[1]C.E.'!Q85+[1]SAP!Q85</f>
        <v>0</v>
      </c>
      <c r="R85" s="27"/>
      <c r="S85" s="35">
        <f t="shared" si="9"/>
        <v>0</v>
      </c>
      <c r="T85" s="36">
        <f t="shared" si="10"/>
        <v>0</v>
      </c>
      <c r="V85" s="21">
        <f>S85-[1]FPG!S85-'[1]C.E.'!S85</f>
        <v>0</v>
      </c>
      <c r="W85" s="22"/>
    </row>
    <row r="86" spans="1:23" hidden="1" outlineLevel="1" x14ac:dyDescent="0.2">
      <c r="A86" s="9"/>
      <c r="B86" s="48"/>
      <c r="C86" s="31">
        <v>400039</v>
      </c>
      <c r="D86" s="32" t="s">
        <v>64</v>
      </c>
      <c r="E86" s="33"/>
      <c r="F86" s="34">
        <f>[1]FPG!F86+'[1]C.E.'!F86+[1]SAP!F86</f>
        <v>0</v>
      </c>
      <c r="G86" s="34">
        <f>[1]FPG!G86+'[1]C.E.'!G86+[1]SAP!G86</f>
        <v>0</v>
      </c>
      <c r="H86" s="34">
        <f>[1]FPG!H86+'[1]C.E.'!H86+[1]SAP!H86</f>
        <v>0</v>
      </c>
      <c r="I86" s="34">
        <f>[1]FPG!I86+'[1]C.E.'!I86+[1]SAP!I86</f>
        <v>0</v>
      </c>
      <c r="J86" s="34">
        <f>[1]FPG!J86+'[1]C.E.'!J86+[1]SAP!J86</f>
        <v>0</v>
      </c>
      <c r="K86" s="34">
        <f>[1]FPG!K86+'[1]C.E.'!K86+[1]SAP!K86</f>
        <v>0</v>
      </c>
      <c r="L86" s="34">
        <f>[1]FPG!L86+'[1]C.E.'!L86+[1]SAP!L86</f>
        <v>0</v>
      </c>
      <c r="M86" s="34">
        <f>[1]FPG!M86+'[1]C.E.'!M86+[1]SAP!M86</f>
        <v>0</v>
      </c>
      <c r="N86" s="34">
        <f>[1]FPG!N86+'[1]C.E.'!N86+[1]SAP!N86</f>
        <v>0</v>
      </c>
      <c r="O86" s="34">
        <f>[1]FPG!O86+'[1]C.E.'!O86+[1]SAP!O86</f>
        <v>0</v>
      </c>
      <c r="P86" s="34">
        <f>[1]FPG!P86+'[1]C.E.'!P86+[1]SAP!P86</f>
        <v>0</v>
      </c>
      <c r="Q86" s="34">
        <f>[1]FPG!Q86+'[1]C.E.'!Q86+[1]SAP!Q86</f>
        <v>0</v>
      </c>
      <c r="R86" s="27"/>
      <c r="S86" s="35">
        <f t="shared" si="9"/>
        <v>0</v>
      </c>
      <c r="T86" s="36">
        <f t="shared" si="10"/>
        <v>0</v>
      </c>
      <c r="V86" s="21">
        <f>S86-[1]FPG!S86-'[1]C.E.'!S86</f>
        <v>0</v>
      </c>
      <c r="W86" s="22"/>
    </row>
    <row r="87" spans="1:23" hidden="1" outlineLevel="1" x14ac:dyDescent="0.2">
      <c r="A87" s="9"/>
      <c r="B87" s="48"/>
      <c r="C87" s="31">
        <v>400040</v>
      </c>
      <c r="D87" s="32" t="s">
        <v>65</v>
      </c>
      <c r="E87" s="33"/>
      <c r="F87" s="34">
        <f>[1]FPG!F87+'[1]C.E.'!F87+[1]SAP!F87</f>
        <v>0</v>
      </c>
      <c r="G87" s="34">
        <f>[1]FPG!G87+'[1]C.E.'!G87+[1]SAP!G87</f>
        <v>0</v>
      </c>
      <c r="H87" s="34">
        <f>[1]FPG!H87+'[1]C.E.'!H87+[1]SAP!H87</f>
        <v>0</v>
      </c>
      <c r="I87" s="34">
        <f>[1]FPG!I87+'[1]C.E.'!I87+[1]SAP!I87</f>
        <v>0</v>
      </c>
      <c r="J87" s="34">
        <f>[1]FPG!J87+'[1]C.E.'!J87+[1]SAP!J87</f>
        <v>0</v>
      </c>
      <c r="K87" s="34">
        <f>[1]FPG!K87+'[1]C.E.'!K87+[1]SAP!K87</f>
        <v>0</v>
      </c>
      <c r="L87" s="34">
        <f>[1]FPG!L87+'[1]C.E.'!L87+[1]SAP!L87</f>
        <v>0</v>
      </c>
      <c r="M87" s="34">
        <f>[1]FPG!M87+'[1]C.E.'!M87+[1]SAP!M87</f>
        <v>0</v>
      </c>
      <c r="N87" s="34">
        <f>[1]FPG!N87+'[1]C.E.'!N87+[1]SAP!N87</f>
        <v>0</v>
      </c>
      <c r="O87" s="34">
        <f>[1]FPG!O87+'[1]C.E.'!O87+[1]SAP!O87</f>
        <v>0</v>
      </c>
      <c r="P87" s="34">
        <f>[1]FPG!P87+'[1]C.E.'!P87+[1]SAP!P87</f>
        <v>0</v>
      </c>
      <c r="Q87" s="34">
        <f>[1]FPG!Q87+'[1]C.E.'!Q87+[1]SAP!Q87</f>
        <v>0</v>
      </c>
      <c r="R87" s="27"/>
      <c r="S87" s="35">
        <f t="shared" si="9"/>
        <v>0</v>
      </c>
      <c r="T87" s="36">
        <f t="shared" si="10"/>
        <v>0</v>
      </c>
      <c r="V87" s="21">
        <f>S87-[1]FPG!S87-'[1]C.E.'!S87</f>
        <v>0</v>
      </c>
      <c r="W87" s="22"/>
    </row>
    <row r="88" spans="1:23" hidden="1" outlineLevel="1" x14ac:dyDescent="0.2">
      <c r="A88" s="9"/>
      <c r="B88" s="48"/>
      <c r="C88" s="31">
        <v>400041</v>
      </c>
      <c r="D88" s="32" t="s">
        <v>66</v>
      </c>
      <c r="E88" s="33"/>
      <c r="F88" s="34">
        <f>[1]FPG!F88+'[1]C.E.'!F88+[1]SAP!F88</f>
        <v>0</v>
      </c>
      <c r="G88" s="34">
        <f>[1]FPG!G88+'[1]C.E.'!G88+[1]SAP!G88</f>
        <v>0</v>
      </c>
      <c r="H88" s="34">
        <f>[1]FPG!H88+'[1]C.E.'!H88+[1]SAP!H88</f>
        <v>0</v>
      </c>
      <c r="I88" s="34">
        <f>[1]FPG!I88+'[1]C.E.'!I88+[1]SAP!I88</f>
        <v>0</v>
      </c>
      <c r="J88" s="34">
        <f>[1]FPG!J88+'[1]C.E.'!J88+[1]SAP!J88</f>
        <v>0</v>
      </c>
      <c r="K88" s="34">
        <f>[1]FPG!K88+'[1]C.E.'!K88+[1]SAP!K88</f>
        <v>0</v>
      </c>
      <c r="L88" s="34">
        <f>[1]FPG!L88+'[1]C.E.'!L88+[1]SAP!L88</f>
        <v>0</v>
      </c>
      <c r="M88" s="34">
        <f>[1]FPG!M88+'[1]C.E.'!M88+[1]SAP!M88</f>
        <v>0</v>
      </c>
      <c r="N88" s="34">
        <f>[1]FPG!N88+'[1]C.E.'!N88+[1]SAP!N88</f>
        <v>0</v>
      </c>
      <c r="O88" s="34">
        <f>[1]FPG!O88+'[1]C.E.'!O88+[1]SAP!O88</f>
        <v>0</v>
      </c>
      <c r="P88" s="34">
        <f>[1]FPG!P88+'[1]C.E.'!P88+[1]SAP!P88</f>
        <v>0</v>
      </c>
      <c r="Q88" s="34">
        <f>[1]FPG!Q88+'[1]C.E.'!Q88+[1]SAP!Q88</f>
        <v>0</v>
      </c>
      <c r="R88" s="27"/>
      <c r="S88" s="35">
        <f t="shared" si="9"/>
        <v>0</v>
      </c>
      <c r="T88" s="36">
        <f t="shared" si="10"/>
        <v>0</v>
      </c>
      <c r="V88" s="21">
        <f>S88-[1]FPG!S88-'[1]C.E.'!S88</f>
        <v>0</v>
      </c>
      <c r="W88" s="22"/>
    </row>
    <row r="89" spans="1:23" hidden="1" outlineLevel="1" x14ac:dyDescent="0.2">
      <c r="A89" s="9"/>
      <c r="B89" s="48"/>
      <c r="C89" s="31">
        <v>400042</v>
      </c>
      <c r="D89" s="32" t="s">
        <v>67</v>
      </c>
      <c r="E89" s="33"/>
      <c r="F89" s="34">
        <f>[1]FPG!F89+'[1]C.E.'!F89+[1]SAP!F89</f>
        <v>0</v>
      </c>
      <c r="G89" s="34">
        <f>[1]FPG!G89+'[1]C.E.'!G89+[1]SAP!G89</f>
        <v>0</v>
      </c>
      <c r="H89" s="34">
        <f>[1]FPG!H89+'[1]C.E.'!H89+[1]SAP!H89</f>
        <v>0</v>
      </c>
      <c r="I89" s="34">
        <f>[1]FPG!I89+'[1]C.E.'!I89+[1]SAP!I89</f>
        <v>0</v>
      </c>
      <c r="J89" s="34">
        <f>[1]FPG!J89+'[1]C.E.'!J89+[1]SAP!J89</f>
        <v>0</v>
      </c>
      <c r="K89" s="34">
        <f>[1]FPG!K89+'[1]C.E.'!K89+[1]SAP!K89</f>
        <v>0</v>
      </c>
      <c r="L89" s="34">
        <f>[1]FPG!L89+'[1]C.E.'!L89+[1]SAP!L89</f>
        <v>0</v>
      </c>
      <c r="M89" s="34">
        <f>[1]FPG!M89+'[1]C.E.'!M89+[1]SAP!M89</f>
        <v>0</v>
      </c>
      <c r="N89" s="34">
        <f>[1]FPG!N89+'[1]C.E.'!N89+[1]SAP!N89</f>
        <v>0</v>
      </c>
      <c r="O89" s="34">
        <f>[1]FPG!O89+'[1]C.E.'!O89+[1]SAP!O89</f>
        <v>0</v>
      </c>
      <c r="P89" s="34">
        <f>[1]FPG!P89+'[1]C.E.'!P89+[1]SAP!P89</f>
        <v>0</v>
      </c>
      <c r="Q89" s="34">
        <f>[1]FPG!Q89+'[1]C.E.'!Q89+[1]SAP!Q89</f>
        <v>0</v>
      </c>
      <c r="R89" s="27"/>
      <c r="S89" s="35">
        <f t="shared" si="9"/>
        <v>0</v>
      </c>
      <c r="T89" s="36">
        <f t="shared" si="10"/>
        <v>0</v>
      </c>
      <c r="V89" s="21">
        <f>S89-[1]FPG!S89-'[1]C.E.'!S89</f>
        <v>0</v>
      </c>
      <c r="W89" s="22"/>
    </row>
    <row r="90" spans="1:23" hidden="1" outlineLevel="1" x14ac:dyDescent="0.2">
      <c r="A90" s="9"/>
      <c r="B90" s="48"/>
      <c r="C90" s="31">
        <v>400043</v>
      </c>
      <c r="D90" s="32" t="s">
        <v>68</v>
      </c>
      <c r="E90" s="33"/>
      <c r="F90" s="34">
        <f>[1]FPG!F90+'[1]C.E.'!F90+[1]SAP!F90</f>
        <v>0</v>
      </c>
      <c r="G90" s="34">
        <f>[1]FPG!G90+'[1]C.E.'!G90+[1]SAP!G90</f>
        <v>0</v>
      </c>
      <c r="H90" s="34">
        <f>[1]FPG!H90+'[1]C.E.'!H90+[1]SAP!H90</f>
        <v>0</v>
      </c>
      <c r="I90" s="34">
        <f>[1]FPG!I90+'[1]C.E.'!I90+[1]SAP!I90</f>
        <v>0</v>
      </c>
      <c r="J90" s="34">
        <f>[1]FPG!J90+'[1]C.E.'!J90+[1]SAP!J90</f>
        <v>0</v>
      </c>
      <c r="K90" s="34">
        <f>[1]FPG!K90+'[1]C.E.'!K90+[1]SAP!K90</f>
        <v>0</v>
      </c>
      <c r="L90" s="34">
        <f>[1]FPG!L90+'[1]C.E.'!L90+[1]SAP!L90</f>
        <v>0</v>
      </c>
      <c r="M90" s="34">
        <f>[1]FPG!M90+'[1]C.E.'!M90+[1]SAP!M90</f>
        <v>0</v>
      </c>
      <c r="N90" s="34">
        <f>[1]FPG!N90+'[1]C.E.'!N90+[1]SAP!N90</f>
        <v>0</v>
      </c>
      <c r="O90" s="34">
        <f>[1]FPG!O90+'[1]C.E.'!O90+[1]SAP!O90</f>
        <v>0</v>
      </c>
      <c r="P90" s="34">
        <f>[1]FPG!P90+'[1]C.E.'!P90+[1]SAP!P90</f>
        <v>0</v>
      </c>
      <c r="Q90" s="34">
        <f>[1]FPG!Q90+'[1]C.E.'!Q90+[1]SAP!Q90</f>
        <v>0</v>
      </c>
      <c r="R90" s="27"/>
      <c r="S90" s="35">
        <f t="shared" si="9"/>
        <v>0</v>
      </c>
      <c r="T90" s="36">
        <f t="shared" si="10"/>
        <v>0</v>
      </c>
      <c r="V90" s="21">
        <f>S90-[1]FPG!S90-'[1]C.E.'!S90</f>
        <v>0</v>
      </c>
      <c r="W90" s="22"/>
    </row>
    <row r="91" spans="1:23" hidden="1" outlineLevel="1" x14ac:dyDescent="0.2">
      <c r="A91" s="9"/>
      <c r="B91" s="48"/>
      <c r="C91" s="31">
        <v>400044</v>
      </c>
      <c r="D91" s="32" t="s">
        <v>69</v>
      </c>
      <c r="E91" s="33"/>
      <c r="F91" s="34">
        <f>[1]FPG!F91+'[1]C.E.'!F91+[1]SAP!F91</f>
        <v>0</v>
      </c>
      <c r="G91" s="34">
        <f>[1]FPG!G91+'[1]C.E.'!G91+[1]SAP!G91</f>
        <v>0</v>
      </c>
      <c r="H91" s="34">
        <f>[1]FPG!H91+'[1]C.E.'!H91+[1]SAP!H91</f>
        <v>0</v>
      </c>
      <c r="I91" s="34">
        <f>[1]FPG!I91+'[1]C.E.'!I91+[1]SAP!I91</f>
        <v>0</v>
      </c>
      <c r="J91" s="34">
        <f>[1]FPG!J91+'[1]C.E.'!J91+[1]SAP!J91</f>
        <v>0</v>
      </c>
      <c r="K91" s="34">
        <f>[1]FPG!K91+'[1]C.E.'!K91+[1]SAP!K91</f>
        <v>0</v>
      </c>
      <c r="L91" s="34">
        <f>[1]FPG!L91+'[1]C.E.'!L91+[1]SAP!L91</f>
        <v>0</v>
      </c>
      <c r="M91" s="34">
        <f>[1]FPG!M91+'[1]C.E.'!M91+[1]SAP!M91</f>
        <v>0</v>
      </c>
      <c r="N91" s="34">
        <f>[1]FPG!N91+'[1]C.E.'!N91+[1]SAP!N91</f>
        <v>0</v>
      </c>
      <c r="O91" s="34">
        <f>[1]FPG!O91+'[1]C.E.'!O91+[1]SAP!O91</f>
        <v>0</v>
      </c>
      <c r="P91" s="34">
        <f>[1]FPG!P91+'[1]C.E.'!P91+[1]SAP!P91</f>
        <v>0</v>
      </c>
      <c r="Q91" s="34">
        <f>[1]FPG!Q91+'[1]C.E.'!Q91+[1]SAP!Q91</f>
        <v>0</v>
      </c>
      <c r="R91" s="27"/>
      <c r="S91" s="35">
        <f t="shared" si="9"/>
        <v>0</v>
      </c>
      <c r="T91" s="36">
        <f t="shared" si="10"/>
        <v>0</v>
      </c>
      <c r="V91" s="21">
        <f>S91-[1]FPG!S91-'[1]C.E.'!S91</f>
        <v>0</v>
      </c>
      <c r="W91" s="22"/>
    </row>
    <row r="92" spans="1:23" hidden="1" outlineLevel="1" x14ac:dyDescent="0.2">
      <c r="A92" s="9"/>
      <c r="B92" s="48"/>
      <c r="C92" s="31">
        <v>400045</v>
      </c>
      <c r="D92" s="32" t="s">
        <v>96</v>
      </c>
      <c r="E92" s="33"/>
      <c r="F92" s="34">
        <f>[1]FPG!F92+'[1]C.E.'!F92+[1]SAP!F92</f>
        <v>0</v>
      </c>
      <c r="G92" s="34">
        <f>[1]FPG!G92+'[1]C.E.'!G92+[1]SAP!G92</f>
        <v>0</v>
      </c>
      <c r="H92" s="34">
        <f>[1]FPG!H92+'[1]C.E.'!H92+[1]SAP!H92</f>
        <v>0</v>
      </c>
      <c r="I92" s="34">
        <f>[1]FPG!I92+'[1]C.E.'!I92+[1]SAP!I92</f>
        <v>0</v>
      </c>
      <c r="J92" s="34">
        <f>[1]FPG!J92+'[1]C.E.'!J92+[1]SAP!J92</f>
        <v>0</v>
      </c>
      <c r="K92" s="34">
        <f>[1]FPG!K92+'[1]C.E.'!K92+[1]SAP!K92</f>
        <v>0</v>
      </c>
      <c r="L92" s="34">
        <f>[1]FPG!L92+'[1]C.E.'!L92+[1]SAP!L92</f>
        <v>0</v>
      </c>
      <c r="M92" s="34">
        <f>[1]FPG!M92+'[1]C.E.'!M92+[1]SAP!M92</f>
        <v>0</v>
      </c>
      <c r="N92" s="34">
        <f>[1]FPG!N92+'[1]C.E.'!N92+[1]SAP!N92</f>
        <v>0</v>
      </c>
      <c r="O92" s="34">
        <f>[1]FPG!O92+'[1]C.E.'!O92+[1]SAP!O92</f>
        <v>0</v>
      </c>
      <c r="P92" s="34">
        <f>[1]FPG!P92+'[1]C.E.'!P92+[1]SAP!P92</f>
        <v>0</v>
      </c>
      <c r="Q92" s="34">
        <f>[1]FPG!Q92+'[1]C.E.'!Q92+[1]SAP!Q92</f>
        <v>0</v>
      </c>
      <c r="R92" s="27"/>
      <c r="S92" s="35">
        <f t="shared" si="9"/>
        <v>0</v>
      </c>
      <c r="T92" s="36">
        <f t="shared" si="10"/>
        <v>0</v>
      </c>
      <c r="V92" s="21">
        <f>S92-[1]FPG!S92-'[1]C.E.'!S92</f>
        <v>0</v>
      </c>
      <c r="W92" s="22"/>
    </row>
    <row r="93" spans="1:23" x14ac:dyDescent="0.2">
      <c r="A93" s="9"/>
      <c r="B93" s="49" t="s">
        <v>97</v>
      </c>
      <c r="C93" s="49" t="s">
        <v>98</v>
      </c>
      <c r="D93" s="50"/>
      <c r="E93" s="51" t="s">
        <v>57</v>
      </c>
      <c r="F93" s="52">
        <f>SUM(F94:F113)</f>
        <v>52874.021111833586</v>
      </c>
      <c r="G93" s="52">
        <f t="shared" ref="G93:Q93" si="13">SUM(G94:G113)</f>
        <v>52874.021111833586</v>
      </c>
      <c r="H93" s="52">
        <f t="shared" si="13"/>
        <v>52874.021111833586</v>
      </c>
      <c r="I93" s="52">
        <f t="shared" si="13"/>
        <v>52874.021111833586</v>
      </c>
      <c r="J93" s="52">
        <f t="shared" si="13"/>
        <v>52874.021111833586</v>
      </c>
      <c r="K93" s="52">
        <f t="shared" si="13"/>
        <v>52874.021111833586</v>
      </c>
      <c r="L93" s="52">
        <f t="shared" si="13"/>
        <v>52874.021111833586</v>
      </c>
      <c r="M93" s="52">
        <f t="shared" si="13"/>
        <v>52874.021111833586</v>
      </c>
      <c r="N93" s="52">
        <f t="shared" si="13"/>
        <v>52874.021111833586</v>
      </c>
      <c r="O93" s="52">
        <f t="shared" si="13"/>
        <v>52874.021111833586</v>
      </c>
      <c r="P93" s="52">
        <f t="shared" si="13"/>
        <v>52874.021111833586</v>
      </c>
      <c r="Q93" s="52">
        <f t="shared" si="13"/>
        <v>52874.021111833586</v>
      </c>
      <c r="R93" s="27"/>
      <c r="S93" s="28">
        <f t="shared" si="9"/>
        <v>634488.2533420031</v>
      </c>
      <c r="T93" s="29">
        <f>S93/$S$43</f>
        <v>5.4210614193201778E-2</v>
      </c>
      <c r="V93" s="21">
        <f>S93-[1]FPG!S93-'[1]C.E.'!S93</f>
        <v>0</v>
      </c>
      <c r="W93" s="22"/>
    </row>
    <row r="94" spans="1:23" outlineLevel="1" x14ac:dyDescent="0.2">
      <c r="A94" s="9"/>
      <c r="B94" s="48"/>
      <c r="C94" s="31">
        <v>400046</v>
      </c>
      <c r="D94" s="44" t="s">
        <v>99</v>
      </c>
      <c r="E94" s="33"/>
      <c r="F94" s="34">
        <f>[1]FPG!F94+'[1]C.E.'!F94+[1]SAP!F94</f>
        <v>40465.515505405885</v>
      </c>
      <c r="G94" s="34">
        <f>[1]FPG!G94+'[1]C.E.'!G94+[1]SAP!G94</f>
        <v>40465.515505405885</v>
      </c>
      <c r="H94" s="34">
        <f>[1]FPG!H94+'[1]C.E.'!H94+[1]SAP!H94</f>
        <v>40465.515505405885</v>
      </c>
      <c r="I94" s="34">
        <f>[1]FPG!I94+'[1]C.E.'!I94+[1]SAP!I94</f>
        <v>40465.515505405885</v>
      </c>
      <c r="J94" s="34">
        <f>[1]FPG!J94+'[1]C.E.'!J94+[1]SAP!J94</f>
        <v>40465.515505405885</v>
      </c>
      <c r="K94" s="34">
        <f>[1]FPG!K94+'[1]C.E.'!K94+[1]SAP!K94</f>
        <v>40465.515505405885</v>
      </c>
      <c r="L94" s="34">
        <f>[1]FPG!L94+'[1]C.E.'!L94+[1]SAP!L94</f>
        <v>40465.515505405885</v>
      </c>
      <c r="M94" s="34">
        <f>[1]FPG!M94+'[1]C.E.'!M94+[1]SAP!M94</f>
        <v>40465.515505405885</v>
      </c>
      <c r="N94" s="34">
        <f>[1]FPG!N94+'[1]C.E.'!N94+[1]SAP!N94</f>
        <v>40465.515505405885</v>
      </c>
      <c r="O94" s="34">
        <f>[1]FPG!O94+'[1]C.E.'!O94+[1]SAP!O94</f>
        <v>40465.515505405885</v>
      </c>
      <c r="P94" s="34">
        <f>[1]FPG!P94+'[1]C.E.'!P94+[1]SAP!P94</f>
        <v>40465.515505405885</v>
      </c>
      <c r="Q94" s="34">
        <f>[1]FPG!Q94+'[1]C.E.'!Q94+[1]SAP!Q94</f>
        <v>40465.515505405885</v>
      </c>
      <c r="R94" s="27"/>
      <c r="S94" s="35">
        <f t="shared" si="9"/>
        <v>485586.18606487074</v>
      </c>
      <c r="T94" s="36">
        <f t="shared" si="10"/>
        <v>4.1488436155683768E-2</v>
      </c>
      <c r="V94" s="21">
        <f>S94-[1]FPG!S94-'[1]C.E.'!S94</f>
        <v>0</v>
      </c>
      <c r="W94" s="22"/>
    </row>
    <row r="95" spans="1:23" outlineLevel="1" x14ac:dyDescent="0.2">
      <c r="A95" s="9"/>
      <c r="B95" s="48"/>
      <c r="C95" s="31">
        <v>400047</v>
      </c>
      <c r="D95" s="32" t="s">
        <v>73</v>
      </c>
      <c r="E95" s="33"/>
      <c r="F95" s="34">
        <f>[1]FPG!F95+'[1]C.E.'!F95+[1]SAP!F95</f>
        <v>11029.782761269067</v>
      </c>
      <c r="G95" s="34">
        <f>[1]FPG!G95+'[1]C.E.'!G95+[1]SAP!G95</f>
        <v>11029.782761269067</v>
      </c>
      <c r="H95" s="34">
        <f>[1]FPG!H95+'[1]C.E.'!H95+[1]SAP!H95</f>
        <v>11029.782761269067</v>
      </c>
      <c r="I95" s="34">
        <f>[1]FPG!I95+'[1]C.E.'!I95+[1]SAP!I95</f>
        <v>11029.782761269067</v>
      </c>
      <c r="J95" s="34">
        <f>[1]FPG!J95+'[1]C.E.'!J95+[1]SAP!J95</f>
        <v>11029.782761269067</v>
      </c>
      <c r="K95" s="34">
        <f>[1]FPG!K95+'[1]C.E.'!K95+[1]SAP!K95</f>
        <v>11029.782761269067</v>
      </c>
      <c r="L95" s="34">
        <f>[1]FPG!L95+'[1]C.E.'!L95+[1]SAP!L95</f>
        <v>11029.782761269067</v>
      </c>
      <c r="M95" s="34">
        <f>[1]FPG!M95+'[1]C.E.'!M95+[1]SAP!M95</f>
        <v>11029.782761269067</v>
      </c>
      <c r="N95" s="34">
        <f>[1]FPG!N95+'[1]C.E.'!N95+[1]SAP!N95</f>
        <v>11029.782761269067</v>
      </c>
      <c r="O95" s="34">
        <f>[1]FPG!O95+'[1]C.E.'!O95+[1]SAP!O95</f>
        <v>11029.782761269067</v>
      </c>
      <c r="P95" s="34">
        <f>[1]FPG!P95+'[1]C.E.'!P95+[1]SAP!P95</f>
        <v>11029.782761269067</v>
      </c>
      <c r="Q95" s="34">
        <f>[1]FPG!Q95+'[1]C.E.'!Q95+[1]SAP!Q95</f>
        <v>11029.782761269067</v>
      </c>
      <c r="R95" s="27"/>
      <c r="S95" s="35">
        <f t="shared" si="9"/>
        <v>132357.39313522883</v>
      </c>
      <c r="T95" s="36">
        <f t="shared" si="10"/>
        <v>1.1308602700016018E-2</v>
      </c>
      <c r="V95" s="21">
        <f>S95-[1]FPG!S95-'[1]C.E.'!S95</f>
        <v>0</v>
      </c>
      <c r="W95" s="22"/>
    </row>
    <row r="96" spans="1:23" hidden="1" outlineLevel="1" x14ac:dyDescent="0.2">
      <c r="A96" s="9"/>
      <c r="B96" s="48"/>
      <c r="C96" s="31">
        <v>400048</v>
      </c>
      <c r="D96" s="32" t="s">
        <v>74</v>
      </c>
      <c r="E96" s="33"/>
      <c r="F96" s="34">
        <f>[1]FPG!F96+'[1]C.E.'!F96+[1]SAP!F96</f>
        <v>0</v>
      </c>
      <c r="G96" s="34">
        <f>[1]FPG!G96+'[1]C.E.'!G96+[1]SAP!G96</f>
        <v>0</v>
      </c>
      <c r="H96" s="34">
        <f>[1]FPG!H96+'[1]C.E.'!H96+[1]SAP!H96</f>
        <v>0</v>
      </c>
      <c r="I96" s="34">
        <f>[1]FPG!I96+'[1]C.E.'!I96+[1]SAP!I96</f>
        <v>0</v>
      </c>
      <c r="J96" s="34">
        <f>[1]FPG!J96+'[1]C.E.'!J96+[1]SAP!J96</f>
        <v>0</v>
      </c>
      <c r="K96" s="34">
        <f>[1]FPG!K96+'[1]C.E.'!K96+[1]SAP!K96</f>
        <v>0</v>
      </c>
      <c r="L96" s="34">
        <f>[1]FPG!L96+'[1]C.E.'!L96+[1]SAP!L96</f>
        <v>0</v>
      </c>
      <c r="M96" s="34">
        <f>[1]FPG!M96+'[1]C.E.'!M96+[1]SAP!M96</f>
        <v>0</v>
      </c>
      <c r="N96" s="34">
        <f>[1]FPG!N96+'[1]C.E.'!N96+[1]SAP!N96</f>
        <v>0</v>
      </c>
      <c r="O96" s="34">
        <f>[1]FPG!O96+'[1]C.E.'!O96+[1]SAP!O96</f>
        <v>0</v>
      </c>
      <c r="P96" s="34">
        <f>[1]FPG!P96+'[1]C.E.'!P96+[1]SAP!P96</f>
        <v>0</v>
      </c>
      <c r="Q96" s="34">
        <f>[1]FPG!Q96+'[1]C.E.'!Q96+[1]SAP!Q96</f>
        <v>0</v>
      </c>
      <c r="R96" s="27"/>
      <c r="S96" s="35">
        <f t="shared" si="9"/>
        <v>0</v>
      </c>
      <c r="T96" s="36">
        <f t="shared" si="10"/>
        <v>0</v>
      </c>
      <c r="V96" s="21">
        <f>S96-[1]FPG!S96-'[1]C.E.'!S96</f>
        <v>0</v>
      </c>
      <c r="W96" s="22"/>
    </row>
    <row r="97" spans="1:23" outlineLevel="1" x14ac:dyDescent="0.2">
      <c r="A97" s="9"/>
      <c r="B97" s="48"/>
      <c r="C97" s="31">
        <v>400049</v>
      </c>
      <c r="D97" s="32" t="s">
        <v>75</v>
      </c>
      <c r="E97" s="33"/>
      <c r="F97" s="34">
        <f>[1]FPG!F97+'[1]C.E.'!F97+[1]SAP!F97</f>
        <v>1378.7228451586334</v>
      </c>
      <c r="G97" s="34">
        <f>[1]FPG!G97+'[1]C.E.'!G97+[1]SAP!G97</f>
        <v>1378.7228451586334</v>
      </c>
      <c r="H97" s="34">
        <f>[1]FPG!H97+'[1]C.E.'!H97+[1]SAP!H97</f>
        <v>1378.7228451586334</v>
      </c>
      <c r="I97" s="34">
        <f>[1]FPG!I97+'[1]C.E.'!I97+[1]SAP!I97</f>
        <v>1378.7228451586334</v>
      </c>
      <c r="J97" s="34">
        <f>[1]FPG!J97+'[1]C.E.'!J97+[1]SAP!J97</f>
        <v>1378.7228451586334</v>
      </c>
      <c r="K97" s="34">
        <f>[1]FPG!K97+'[1]C.E.'!K97+[1]SAP!K97</f>
        <v>1378.7228451586334</v>
      </c>
      <c r="L97" s="34">
        <f>[1]FPG!L97+'[1]C.E.'!L97+[1]SAP!L97</f>
        <v>1378.7228451586334</v>
      </c>
      <c r="M97" s="34">
        <f>[1]FPG!M97+'[1]C.E.'!M97+[1]SAP!M97</f>
        <v>1378.7228451586334</v>
      </c>
      <c r="N97" s="34">
        <f>[1]FPG!N97+'[1]C.E.'!N97+[1]SAP!N97</f>
        <v>1378.7228451586334</v>
      </c>
      <c r="O97" s="34">
        <f>[1]FPG!O97+'[1]C.E.'!O97+[1]SAP!O97</f>
        <v>1378.7228451586334</v>
      </c>
      <c r="P97" s="34">
        <f>[1]FPG!P97+'[1]C.E.'!P97+[1]SAP!P97</f>
        <v>1378.7228451586334</v>
      </c>
      <c r="Q97" s="34">
        <f>[1]FPG!Q97+'[1]C.E.'!Q97+[1]SAP!Q97</f>
        <v>1378.7228451586334</v>
      </c>
      <c r="R97" s="27"/>
      <c r="S97" s="35">
        <f t="shared" si="9"/>
        <v>16544.674141903604</v>
      </c>
      <c r="T97" s="36">
        <f t="shared" si="10"/>
        <v>1.4135753375020023E-3</v>
      </c>
      <c r="V97" s="21">
        <f>S97-[1]FPG!S97-'[1]C.E.'!S97</f>
        <v>0</v>
      </c>
      <c r="W97" s="22"/>
    </row>
    <row r="98" spans="1:23" hidden="1" outlineLevel="1" x14ac:dyDescent="0.2">
      <c r="A98" s="9"/>
      <c r="B98" s="48"/>
      <c r="C98" s="31">
        <v>400050</v>
      </c>
      <c r="D98" s="32" t="s">
        <v>78</v>
      </c>
      <c r="E98" s="33"/>
      <c r="F98" s="34">
        <f>[1]FPG!F98+'[1]C.E.'!F98+[1]SAP!F98</f>
        <v>0</v>
      </c>
      <c r="G98" s="34">
        <f>[1]FPG!G98+'[1]C.E.'!G98+[1]SAP!G98</f>
        <v>0</v>
      </c>
      <c r="H98" s="34">
        <f>[1]FPG!H98+'[1]C.E.'!H98+[1]SAP!H98</f>
        <v>0</v>
      </c>
      <c r="I98" s="34">
        <f>[1]FPG!I98+'[1]C.E.'!I98+[1]SAP!I98</f>
        <v>0</v>
      </c>
      <c r="J98" s="34">
        <f>[1]FPG!J98+'[1]C.E.'!J98+[1]SAP!J98</f>
        <v>0</v>
      </c>
      <c r="K98" s="34">
        <f>[1]FPG!K98+'[1]C.E.'!K98+[1]SAP!K98</f>
        <v>0</v>
      </c>
      <c r="L98" s="34">
        <f>[1]FPG!L98+'[1]C.E.'!L98+[1]SAP!L98</f>
        <v>0</v>
      </c>
      <c r="M98" s="34">
        <f>[1]FPG!M98+'[1]C.E.'!M98+[1]SAP!M98</f>
        <v>0</v>
      </c>
      <c r="N98" s="34">
        <f>[1]FPG!N98+'[1]C.E.'!N98+[1]SAP!N98</f>
        <v>0</v>
      </c>
      <c r="O98" s="34">
        <f>[1]FPG!O98+'[1]C.E.'!O98+[1]SAP!O98</f>
        <v>0</v>
      </c>
      <c r="P98" s="34">
        <f>[1]FPG!P98+'[1]C.E.'!P98+[1]SAP!P98</f>
        <v>0</v>
      </c>
      <c r="Q98" s="34">
        <f>[1]FPG!Q98+'[1]C.E.'!Q98+[1]SAP!Q98</f>
        <v>0</v>
      </c>
      <c r="R98" s="27"/>
      <c r="S98" s="35">
        <f t="shared" si="9"/>
        <v>0</v>
      </c>
      <c r="T98" s="36">
        <f t="shared" si="10"/>
        <v>0</v>
      </c>
      <c r="V98" s="21">
        <f>S98-[1]FPG!S98-'[1]C.E.'!S98</f>
        <v>0</v>
      </c>
      <c r="W98" s="22"/>
    </row>
    <row r="99" spans="1:23" hidden="1" outlineLevel="1" x14ac:dyDescent="0.2">
      <c r="A99" s="9"/>
      <c r="B99" s="48"/>
      <c r="C99" s="31">
        <v>400051</v>
      </c>
      <c r="D99" s="32" t="s">
        <v>79</v>
      </c>
      <c r="E99" s="33"/>
      <c r="F99" s="34">
        <f>[1]FPG!F99+'[1]C.E.'!F99+[1]SAP!F99</f>
        <v>0</v>
      </c>
      <c r="G99" s="34">
        <f>[1]FPG!G99+'[1]C.E.'!G99+[1]SAP!G99</f>
        <v>0</v>
      </c>
      <c r="H99" s="34">
        <f>[1]FPG!H99+'[1]C.E.'!H99+[1]SAP!H99</f>
        <v>0</v>
      </c>
      <c r="I99" s="34">
        <f>[1]FPG!I99+'[1]C.E.'!I99+[1]SAP!I99</f>
        <v>0</v>
      </c>
      <c r="J99" s="34">
        <f>[1]FPG!J99+'[1]C.E.'!J99+[1]SAP!J99</f>
        <v>0</v>
      </c>
      <c r="K99" s="34">
        <f>[1]FPG!K99+'[1]C.E.'!K99+[1]SAP!K99</f>
        <v>0</v>
      </c>
      <c r="L99" s="34">
        <f>[1]FPG!L99+'[1]C.E.'!L99+[1]SAP!L99</f>
        <v>0</v>
      </c>
      <c r="M99" s="34">
        <f>[1]FPG!M99+'[1]C.E.'!M99+[1]SAP!M99</f>
        <v>0</v>
      </c>
      <c r="N99" s="34">
        <f>[1]FPG!N99+'[1]C.E.'!N99+[1]SAP!N99</f>
        <v>0</v>
      </c>
      <c r="O99" s="34">
        <f>[1]FPG!O99+'[1]C.E.'!O99+[1]SAP!O99</f>
        <v>0</v>
      </c>
      <c r="P99" s="34">
        <f>[1]FPG!P99+'[1]C.E.'!P99+[1]SAP!P99</f>
        <v>0</v>
      </c>
      <c r="Q99" s="34">
        <f>[1]FPG!Q99+'[1]C.E.'!Q99+[1]SAP!Q99</f>
        <v>0</v>
      </c>
      <c r="R99" s="27"/>
      <c r="S99" s="35">
        <f t="shared" si="9"/>
        <v>0</v>
      </c>
      <c r="T99" s="36">
        <f t="shared" si="10"/>
        <v>0</v>
      </c>
      <c r="V99" s="21">
        <f>S99-[1]FPG!S99-'[1]C.E.'!S99</f>
        <v>0</v>
      </c>
      <c r="W99" s="22"/>
    </row>
    <row r="100" spans="1:23" hidden="1" outlineLevel="1" x14ac:dyDescent="0.2">
      <c r="A100" s="9"/>
      <c r="B100" s="48"/>
      <c r="C100" s="31">
        <v>400052</v>
      </c>
      <c r="D100" s="32" t="s">
        <v>80</v>
      </c>
      <c r="E100" s="33"/>
      <c r="F100" s="34">
        <f>[1]FPG!F100+'[1]C.E.'!F100+[1]SAP!F100</f>
        <v>0</v>
      </c>
      <c r="G100" s="34">
        <f>[1]FPG!G100+'[1]C.E.'!G100+[1]SAP!G100</f>
        <v>0</v>
      </c>
      <c r="H100" s="34">
        <f>[1]FPG!H100+'[1]C.E.'!H100+[1]SAP!H100</f>
        <v>0</v>
      </c>
      <c r="I100" s="34">
        <f>[1]FPG!I100+'[1]C.E.'!I100+[1]SAP!I100</f>
        <v>0</v>
      </c>
      <c r="J100" s="34">
        <f>[1]FPG!J100+'[1]C.E.'!J100+[1]SAP!J100</f>
        <v>0</v>
      </c>
      <c r="K100" s="34">
        <f>[1]FPG!K100+'[1]C.E.'!K100+[1]SAP!K100</f>
        <v>0</v>
      </c>
      <c r="L100" s="34">
        <f>[1]FPG!L100+'[1]C.E.'!L100+[1]SAP!L100</f>
        <v>0</v>
      </c>
      <c r="M100" s="34">
        <f>[1]FPG!M100+'[1]C.E.'!M100+[1]SAP!M100</f>
        <v>0</v>
      </c>
      <c r="N100" s="34">
        <f>[1]FPG!N100+'[1]C.E.'!N100+[1]SAP!N100</f>
        <v>0</v>
      </c>
      <c r="O100" s="34">
        <f>[1]FPG!O100+'[1]C.E.'!O100+[1]SAP!O100</f>
        <v>0</v>
      </c>
      <c r="P100" s="34">
        <f>[1]FPG!P100+'[1]C.E.'!P100+[1]SAP!P100</f>
        <v>0</v>
      </c>
      <c r="Q100" s="34">
        <f>[1]FPG!Q100+'[1]C.E.'!Q100+[1]SAP!Q100</f>
        <v>0</v>
      </c>
      <c r="R100" s="27"/>
      <c r="S100" s="35">
        <f t="shared" si="9"/>
        <v>0</v>
      </c>
      <c r="T100" s="36">
        <f t="shared" si="10"/>
        <v>0</v>
      </c>
      <c r="V100" s="21">
        <f>S100-[1]FPG!S100-'[1]C.E.'!S100</f>
        <v>0</v>
      </c>
      <c r="W100" s="22"/>
    </row>
    <row r="101" spans="1:23" hidden="1" outlineLevel="1" x14ac:dyDescent="0.2">
      <c r="A101" s="9"/>
      <c r="B101" s="48"/>
      <c r="C101" s="31">
        <v>400053</v>
      </c>
      <c r="D101" s="32" t="s">
        <v>81</v>
      </c>
      <c r="E101" s="33"/>
      <c r="F101" s="34">
        <f>[1]FPG!F101+'[1]C.E.'!F101+[1]SAP!F101</f>
        <v>0</v>
      </c>
      <c r="G101" s="34">
        <f>[1]FPG!G101+'[1]C.E.'!G101+[1]SAP!G101</f>
        <v>0</v>
      </c>
      <c r="H101" s="34">
        <f>[1]FPG!H101+'[1]C.E.'!H101+[1]SAP!H101</f>
        <v>0</v>
      </c>
      <c r="I101" s="34">
        <f>[1]FPG!I101+'[1]C.E.'!I101+[1]SAP!I101</f>
        <v>0</v>
      </c>
      <c r="J101" s="34">
        <f>[1]FPG!J101+'[1]C.E.'!J101+[1]SAP!J101</f>
        <v>0</v>
      </c>
      <c r="K101" s="34">
        <f>[1]FPG!K101+'[1]C.E.'!K101+[1]SAP!K101</f>
        <v>0</v>
      </c>
      <c r="L101" s="34">
        <f>[1]FPG!L101+'[1]C.E.'!L101+[1]SAP!L101</f>
        <v>0</v>
      </c>
      <c r="M101" s="34">
        <f>[1]FPG!M101+'[1]C.E.'!M101+[1]SAP!M101</f>
        <v>0</v>
      </c>
      <c r="N101" s="34">
        <f>[1]FPG!N101+'[1]C.E.'!N101+[1]SAP!N101</f>
        <v>0</v>
      </c>
      <c r="O101" s="34">
        <f>[1]FPG!O101+'[1]C.E.'!O101+[1]SAP!O101</f>
        <v>0</v>
      </c>
      <c r="P101" s="34">
        <f>[1]FPG!P101+'[1]C.E.'!P101+[1]SAP!P101</f>
        <v>0</v>
      </c>
      <c r="Q101" s="34">
        <f>[1]FPG!Q101+'[1]C.E.'!Q101+[1]SAP!Q101</f>
        <v>0</v>
      </c>
      <c r="R101" s="27"/>
      <c r="S101" s="35">
        <f t="shared" si="9"/>
        <v>0</v>
      </c>
      <c r="T101" s="36">
        <f t="shared" si="10"/>
        <v>0</v>
      </c>
      <c r="V101" s="21">
        <f>S101-[1]FPG!S101-'[1]C.E.'!S101</f>
        <v>0</v>
      </c>
      <c r="W101" s="22"/>
    </row>
    <row r="102" spans="1:23" hidden="1" outlineLevel="1" x14ac:dyDescent="0.2">
      <c r="A102" s="9"/>
      <c r="B102" s="48"/>
      <c r="C102" s="31">
        <v>400054</v>
      </c>
      <c r="D102" s="32" t="s">
        <v>82</v>
      </c>
      <c r="E102" s="33"/>
      <c r="F102" s="34">
        <f>[1]FPG!F102+'[1]C.E.'!F102+[1]SAP!F102</f>
        <v>0</v>
      </c>
      <c r="G102" s="34">
        <f>[1]FPG!G102+'[1]C.E.'!G102+[1]SAP!G102</f>
        <v>0</v>
      </c>
      <c r="H102" s="34">
        <f>[1]FPG!H102+'[1]C.E.'!H102+[1]SAP!H102</f>
        <v>0</v>
      </c>
      <c r="I102" s="34">
        <f>[1]FPG!I102+'[1]C.E.'!I102+[1]SAP!I102</f>
        <v>0</v>
      </c>
      <c r="J102" s="34">
        <f>[1]FPG!J102+'[1]C.E.'!J102+[1]SAP!J102</f>
        <v>0</v>
      </c>
      <c r="K102" s="34">
        <f>[1]FPG!K102+'[1]C.E.'!K102+[1]SAP!K102</f>
        <v>0</v>
      </c>
      <c r="L102" s="34">
        <f>[1]FPG!L102+'[1]C.E.'!L102+[1]SAP!L102</f>
        <v>0</v>
      </c>
      <c r="M102" s="34">
        <f>[1]FPG!M102+'[1]C.E.'!M102+[1]SAP!M102</f>
        <v>0</v>
      </c>
      <c r="N102" s="34">
        <f>[1]FPG!N102+'[1]C.E.'!N102+[1]SAP!N102</f>
        <v>0</v>
      </c>
      <c r="O102" s="34">
        <f>[1]FPG!O102+'[1]C.E.'!O102+[1]SAP!O102</f>
        <v>0</v>
      </c>
      <c r="P102" s="34">
        <f>[1]FPG!P102+'[1]C.E.'!P102+[1]SAP!P102</f>
        <v>0</v>
      </c>
      <c r="Q102" s="34">
        <f>[1]FPG!Q102+'[1]C.E.'!Q102+[1]SAP!Q102</f>
        <v>0</v>
      </c>
      <c r="R102" s="27"/>
      <c r="S102" s="35">
        <f t="shared" si="9"/>
        <v>0</v>
      </c>
      <c r="T102" s="36">
        <f t="shared" si="10"/>
        <v>0</v>
      </c>
      <c r="V102" s="21">
        <f>S102-[1]FPG!S102-'[1]C.E.'!S102</f>
        <v>0</v>
      </c>
      <c r="W102" s="22"/>
    </row>
    <row r="103" spans="1:23" hidden="1" outlineLevel="1" x14ac:dyDescent="0.2">
      <c r="A103" s="9"/>
      <c r="B103" s="48"/>
      <c r="C103" s="31">
        <v>400055</v>
      </c>
      <c r="D103" s="32" t="s">
        <v>83</v>
      </c>
      <c r="E103" s="33"/>
      <c r="F103" s="34">
        <f>[1]FPG!F103+'[1]C.E.'!F103+[1]SAP!F103</f>
        <v>0</v>
      </c>
      <c r="G103" s="34">
        <f>[1]FPG!G103+'[1]C.E.'!G103+[1]SAP!G103</f>
        <v>0</v>
      </c>
      <c r="H103" s="34">
        <f>[1]FPG!H103+'[1]C.E.'!H103+[1]SAP!H103</f>
        <v>0</v>
      </c>
      <c r="I103" s="34">
        <f>[1]FPG!I103+'[1]C.E.'!I103+[1]SAP!I103</f>
        <v>0</v>
      </c>
      <c r="J103" s="34">
        <f>[1]FPG!J103+'[1]C.E.'!J103+[1]SAP!J103</f>
        <v>0</v>
      </c>
      <c r="K103" s="34">
        <f>[1]FPG!K103+'[1]C.E.'!K103+[1]SAP!K103</f>
        <v>0</v>
      </c>
      <c r="L103" s="34">
        <f>[1]FPG!L103+'[1]C.E.'!L103+[1]SAP!L103</f>
        <v>0</v>
      </c>
      <c r="M103" s="34">
        <f>[1]FPG!M103+'[1]C.E.'!M103+[1]SAP!M103</f>
        <v>0</v>
      </c>
      <c r="N103" s="34">
        <f>[1]FPG!N103+'[1]C.E.'!N103+[1]SAP!N103</f>
        <v>0</v>
      </c>
      <c r="O103" s="34">
        <f>[1]FPG!O103+'[1]C.E.'!O103+[1]SAP!O103</f>
        <v>0</v>
      </c>
      <c r="P103" s="34">
        <f>[1]FPG!P103+'[1]C.E.'!P103+[1]SAP!P103</f>
        <v>0</v>
      </c>
      <c r="Q103" s="34">
        <f>[1]FPG!Q103+'[1]C.E.'!Q103+[1]SAP!Q103</f>
        <v>0</v>
      </c>
      <c r="R103" s="27"/>
      <c r="S103" s="35">
        <f t="shared" si="9"/>
        <v>0</v>
      </c>
      <c r="T103" s="36">
        <f t="shared" si="10"/>
        <v>0</v>
      </c>
      <c r="V103" s="21">
        <f>S103-[1]FPG!S103-'[1]C.E.'!S103</f>
        <v>0</v>
      </c>
      <c r="W103" s="22"/>
    </row>
    <row r="104" spans="1:23" hidden="1" outlineLevel="1" x14ac:dyDescent="0.2">
      <c r="A104" s="9"/>
      <c r="B104" s="48"/>
      <c r="C104" s="31">
        <v>400056</v>
      </c>
      <c r="D104" s="32" t="s">
        <v>84</v>
      </c>
      <c r="E104" s="33"/>
      <c r="F104" s="34">
        <f>[1]FPG!F104+'[1]C.E.'!F104+[1]SAP!F104</f>
        <v>0</v>
      </c>
      <c r="G104" s="34">
        <f>[1]FPG!G104+'[1]C.E.'!G104+[1]SAP!G104</f>
        <v>0</v>
      </c>
      <c r="H104" s="34">
        <f>[1]FPG!H104+'[1]C.E.'!H104+[1]SAP!H104</f>
        <v>0</v>
      </c>
      <c r="I104" s="34">
        <f>[1]FPG!I104+'[1]C.E.'!I104+[1]SAP!I104</f>
        <v>0</v>
      </c>
      <c r="J104" s="34">
        <f>[1]FPG!J104+'[1]C.E.'!J104+[1]SAP!J104</f>
        <v>0</v>
      </c>
      <c r="K104" s="34">
        <f>[1]FPG!K104+'[1]C.E.'!K104+[1]SAP!K104</f>
        <v>0</v>
      </c>
      <c r="L104" s="34">
        <f>[1]FPG!L104+'[1]C.E.'!L104+[1]SAP!L104</f>
        <v>0</v>
      </c>
      <c r="M104" s="34">
        <f>[1]FPG!M104+'[1]C.E.'!M104+[1]SAP!M104</f>
        <v>0</v>
      </c>
      <c r="N104" s="34">
        <f>[1]FPG!N104+'[1]C.E.'!N104+[1]SAP!N104</f>
        <v>0</v>
      </c>
      <c r="O104" s="34">
        <f>[1]FPG!O104+'[1]C.E.'!O104+[1]SAP!O104</f>
        <v>0</v>
      </c>
      <c r="P104" s="34">
        <f>[1]FPG!P104+'[1]C.E.'!P104+[1]SAP!P104</f>
        <v>0</v>
      </c>
      <c r="Q104" s="34">
        <f>[1]FPG!Q104+'[1]C.E.'!Q104+[1]SAP!Q104</f>
        <v>0</v>
      </c>
      <c r="R104" s="27"/>
      <c r="S104" s="35">
        <f t="shared" si="9"/>
        <v>0</v>
      </c>
      <c r="T104" s="36">
        <f t="shared" si="10"/>
        <v>0</v>
      </c>
      <c r="V104" s="21">
        <f>S104-[1]FPG!S104-'[1]C.E.'!S104</f>
        <v>0</v>
      </c>
      <c r="W104" s="22"/>
    </row>
    <row r="105" spans="1:23" hidden="1" outlineLevel="1" x14ac:dyDescent="0.2">
      <c r="A105" s="9"/>
      <c r="B105" s="48"/>
      <c r="C105" s="31">
        <v>400057</v>
      </c>
      <c r="D105" s="32" t="s">
        <v>85</v>
      </c>
      <c r="E105" s="33"/>
      <c r="F105" s="34">
        <f>[1]FPG!F105+'[1]C.E.'!F105+[1]SAP!F105</f>
        <v>0</v>
      </c>
      <c r="G105" s="34">
        <f>[1]FPG!G105+'[1]C.E.'!G105+[1]SAP!G105</f>
        <v>0</v>
      </c>
      <c r="H105" s="34">
        <f>[1]FPG!H105+'[1]C.E.'!H105+[1]SAP!H105</f>
        <v>0</v>
      </c>
      <c r="I105" s="34">
        <f>[1]FPG!I105+'[1]C.E.'!I105+[1]SAP!I105</f>
        <v>0</v>
      </c>
      <c r="J105" s="34">
        <f>[1]FPG!J105+'[1]C.E.'!J105+[1]SAP!J105</f>
        <v>0</v>
      </c>
      <c r="K105" s="34">
        <f>[1]FPG!K105+'[1]C.E.'!K105+[1]SAP!K105</f>
        <v>0</v>
      </c>
      <c r="L105" s="34">
        <f>[1]FPG!L105+'[1]C.E.'!L105+[1]SAP!L105</f>
        <v>0</v>
      </c>
      <c r="M105" s="34">
        <f>[1]FPG!M105+'[1]C.E.'!M105+[1]SAP!M105</f>
        <v>0</v>
      </c>
      <c r="N105" s="34">
        <f>[1]FPG!N105+'[1]C.E.'!N105+[1]SAP!N105</f>
        <v>0</v>
      </c>
      <c r="O105" s="34">
        <f>[1]FPG!O105+'[1]C.E.'!O105+[1]SAP!O105</f>
        <v>0</v>
      </c>
      <c r="P105" s="34">
        <f>[1]FPG!P105+'[1]C.E.'!P105+[1]SAP!P105</f>
        <v>0</v>
      </c>
      <c r="Q105" s="34">
        <f>[1]FPG!Q105+'[1]C.E.'!Q105+[1]SAP!Q105</f>
        <v>0</v>
      </c>
      <c r="R105" s="27"/>
      <c r="S105" s="35">
        <f t="shared" si="9"/>
        <v>0</v>
      </c>
      <c r="T105" s="36">
        <f t="shared" si="10"/>
        <v>0</v>
      </c>
      <c r="V105" s="21">
        <f>S105-[1]FPG!S105-'[1]C.E.'!S105</f>
        <v>0</v>
      </c>
      <c r="W105" s="22"/>
    </row>
    <row r="106" spans="1:23" hidden="1" outlineLevel="1" x14ac:dyDescent="0.2">
      <c r="A106" s="9"/>
      <c r="B106" s="48"/>
      <c r="C106" s="31">
        <v>400058</v>
      </c>
      <c r="D106" s="32" t="s">
        <v>87</v>
      </c>
      <c r="E106" s="33"/>
      <c r="F106" s="34">
        <f>[1]FPG!F106+'[1]C.E.'!F106+[1]SAP!F106</f>
        <v>0</v>
      </c>
      <c r="G106" s="34">
        <f>[1]FPG!G106+'[1]C.E.'!G106+[1]SAP!G106</f>
        <v>0</v>
      </c>
      <c r="H106" s="34">
        <f>[1]FPG!H106+'[1]C.E.'!H106+[1]SAP!H106</f>
        <v>0</v>
      </c>
      <c r="I106" s="34">
        <f>[1]FPG!I106+'[1]C.E.'!I106+[1]SAP!I106</f>
        <v>0</v>
      </c>
      <c r="J106" s="34">
        <f>[1]FPG!J106+'[1]C.E.'!J106+[1]SAP!J106</f>
        <v>0</v>
      </c>
      <c r="K106" s="34">
        <f>[1]FPG!K106+'[1]C.E.'!K106+[1]SAP!K106</f>
        <v>0</v>
      </c>
      <c r="L106" s="34">
        <f>[1]FPG!L106+'[1]C.E.'!L106+[1]SAP!L106</f>
        <v>0</v>
      </c>
      <c r="M106" s="34">
        <f>[1]FPG!M106+'[1]C.E.'!M106+[1]SAP!M106</f>
        <v>0</v>
      </c>
      <c r="N106" s="34">
        <f>[1]FPG!N106+'[1]C.E.'!N106+[1]SAP!N106</f>
        <v>0</v>
      </c>
      <c r="O106" s="34">
        <f>[1]FPG!O106+'[1]C.E.'!O106+[1]SAP!O106</f>
        <v>0</v>
      </c>
      <c r="P106" s="34">
        <f>[1]FPG!P106+'[1]C.E.'!P106+[1]SAP!P106</f>
        <v>0</v>
      </c>
      <c r="Q106" s="34">
        <f>[1]FPG!Q106+'[1]C.E.'!Q106+[1]SAP!Q106</f>
        <v>0</v>
      </c>
      <c r="R106" s="27"/>
      <c r="S106" s="35">
        <f t="shared" si="9"/>
        <v>0</v>
      </c>
      <c r="T106" s="36">
        <f t="shared" si="10"/>
        <v>0</v>
      </c>
      <c r="V106" s="21">
        <f>S106-[1]FPG!S106-'[1]C.E.'!S106</f>
        <v>0</v>
      </c>
      <c r="W106" s="22"/>
    </row>
    <row r="107" spans="1:23" hidden="1" outlineLevel="1" x14ac:dyDescent="0.2">
      <c r="A107" s="9"/>
      <c r="B107" s="48"/>
      <c r="C107" s="31">
        <v>400059</v>
      </c>
      <c r="D107" s="32" t="s">
        <v>88</v>
      </c>
      <c r="E107" s="33"/>
      <c r="F107" s="34">
        <f>[1]FPG!F107+'[1]C.E.'!F107+[1]SAP!F107</f>
        <v>0</v>
      </c>
      <c r="G107" s="34">
        <f>[1]FPG!G107+'[1]C.E.'!G107+[1]SAP!G107</f>
        <v>0</v>
      </c>
      <c r="H107" s="34">
        <f>[1]FPG!H107+'[1]C.E.'!H107+[1]SAP!H107</f>
        <v>0</v>
      </c>
      <c r="I107" s="34">
        <f>[1]FPG!I107+'[1]C.E.'!I107+[1]SAP!I107</f>
        <v>0</v>
      </c>
      <c r="J107" s="34">
        <f>[1]FPG!J107+'[1]C.E.'!J107+[1]SAP!J107</f>
        <v>0</v>
      </c>
      <c r="K107" s="34">
        <f>[1]FPG!K107+'[1]C.E.'!K107+[1]SAP!K107</f>
        <v>0</v>
      </c>
      <c r="L107" s="34">
        <f>[1]FPG!L107+'[1]C.E.'!L107+[1]SAP!L107</f>
        <v>0</v>
      </c>
      <c r="M107" s="34">
        <f>[1]FPG!M107+'[1]C.E.'!M107+[1]SAP!M107</f>
        <v>0</v>
      </c>
      <c r="N107" s="34">
        <f>[1]FPG!N107+'[1]C.E.'!N107+[1]SAP!N107</f>
        <v>0</v>
      </c>
      <c r="O107" s="34">
        <f>[1]FPG!O107+'[1]C.E.'!O107+[1]SAP!O107</f>
        <v>0</v>
      </c>
      <c r="P107" s="34">
        <f>[1]FPG!P107+'[1]C.E.'!P107+[1]SAP!P107</f>
        <v>0</v>
      </c>
      <c r="Q107" s="34">
        <f>[1]FPG!Q107+'[1]C.E.'!Q107+[1]SAP!Q107</f>
        <v>0</v>
      </c>
      <c r="R107" s="27"/>
      <c r="S107" s="35">
        <f t="shared" ref="S107:S170" si="14">SUM(F107:R107)</f>
        <v>0</v>
      </c>
      <c r="T107" s="36">
        <f t="shared" si="10"/>
        <v>0</v>
      </c>
      <c r="V107" s="21">
        <f>S107-[1]FPG!S107-'[1]C.E.'!S107</f>
        <v>0</v>
      </c>
      <c r="W107" s="22"/>
    </row>
    <row r="108" spans="1:23" hidden="1" outlineLevel="1" x14ac:dyDescent="0.2">
      <c r="A108" s="9"/>
      <c r="B108" s="48"/>
      <c r="C108" s="31">
        <v>400060</v>
      </c>
      <c r="D108" s="32" t="s">
        <v>89</v>
      </c>
      <c r="E108" s="33"/>
      <c r="F108" s="34">
        <f>[1]FPG!F108+'[1]C.E.'!F108+[1]SAP!F108</f>
        <v>0</v>
      </c>
      <c r="G108" s="34">
        <f>[1]FPG!G108+'[1]C.E.'!G108+[1]SAP!G108</f>
        <v>0</v>
      </c>
      <c r="H108" s="34">
        <f>[1]FPG!H108+'[1]C.E.'!H108+[1]SAP!H108</f>
        <v>0</v>
      </c>
      <c r="I108" s="34">
        <f>[1]FPG!I108+'[1]C.E.'!I108+[1]SAP!I108</f>
        <v>0</v>
      </c>
      <c r="J108" s="34">
        <f>[1]FPG!J108+'[1]C.E.'!J108+[1]SAP!J108</f>
        <v>0</v>
      </c>
      <c r="K108" s="34">
        <f>[1]FPG!K108+'[1]C.E.'!K108+[1]SAP!K108</f>
        <v>0</v>
      </c>
      <c r="L108" s="34">
        <f>[1]FPG!L108+'[1]C.E.'!L108+[1]SAP!L108</f>
        <v>0</v>
      </c>
      <c r="M108" s="34">
        <f>[1]FPG!M108+'[1]C.E.'!M108+[1]SAP!M108</f>
        <v>0</v>
      </c>
      <c r="N108" s="34">
        <f>[1]FPG!N108+'[1]C.E.'!N108+[1]SAP!N108</f>
        <v>0</v>
      </c>
      <c r="O108" s="34">
        <f>[1]FPG!O108+'[1]C.E.'!O108+[1]SAP!O108</f>
        <v>0</v>
      </c>
      <c r="P108" s="34">
        <f>[1]FPG!P108+'[1]C.E.'!P108+[1]SAP!P108</f>
        <v>0</v>
      </c>
      <c r="Q108" s="34">
        <f>[1]FPG!Q108+'[1]C.E.'!Q108+[1]SAP!Q108</f>
        <v>0</v>
      </c>
      <c r="R108" s="27"/>
      <c r="S108" s="35">
        <f t="shared" si="14"/>
        <v>0</v>
      </c>
      <c r="T108" s="36">
        <f t="shared" si="10"/>
        <v>0</v>
      </c>
      <c r="V108" s="21">
        <f>S108-[1]FPG!S108-'[1]C.E.'!S108</f>
        <v>0</v>
      </c>
      <c r="W108" s="22"/>
    </row>
    <row r="109" spans="1:23" hidden="1" outlineLevel="1" x14ac:dyDescent="0.2">
      <c r="A109" s="9"/>
      <c r="B109" s="48"/>
      <c r="C109" s="31">
        <v>400061</v>
      </c>
      <c r="D109" s="32" t="s">
        <v>90</v>
      </c>
      <c r="E109" s="33"/>
      <c r="F109" s="34">
        <f>[1]FPG!F109+'[1]C.E.'!F109+[1]SAP!F109</f>
        <v>0</v>
      </c>
      <c r="G109" s="34">
        <f>[1]FPG!G109+'[1]C.E.'!G109+[1]SAP!G109</f>
        <v>0</v>
      </c>
      <c r="H109" s="34">
        <f>[1]FPG!H109+'[1]C.E.'!H109+[1]SAP!H109</f>
        <v>0</v>
      </c>
      <c r="I109" s="34">
        <f>[1]FPG!I109+'[1]C.E.'!I109+[1]SAP!I109</f>
        <v>0</v>
      </c>
      <c r="J109" s="34">
        <f>[1]FPG!J109+'[1]C.E.'!J109+[1]SAP!J109</f>
        <v>0</v>
      </c>
      <c r="K109" s="34">
        <f>[1]FPG!K109+'[1]C.E.'!K109+[1]SAP!K109</f>
        <v>0</v>
      </c>
      <c r="L109" s="34">
        <f>[1]FPG!L109+'[1]C.E.'!L109+[1]SAP!L109</f>
        <v>0</v>
      </c>
      <c r="M109" s="34">
        <f>[1]FPG!M109+'[1]C.E.'!M109+[1]SAP!M109</f>
        <v>0</v>
      </c>
      <c r="N109" s="34">
        <f>[1]FPG!N109+'[1]C.E.'!N109+[1]SAP!N109</f>
        <v>0</v>
      </c>
      <c r="O109" s="34">
        <f>[1]FPG!O109+'[1]C.E.'!O109+[1]SAP!O109</f>
        <v>0</v>
      </c>
      <c r="P109" s="34">
        <f>[1]FPG!P109+'[1]C.E.'!P109+[1]SAP!P109</f>
        <v>0</v>
      </c>
      <c r="Q109" s="34">
        <f>[1]FPG!Q109+'[1]C.E.'!Q109+[1]SAP!Q109</f>
        <v>0</v>
      </c>
      <c r="R109" s="27"/>
      <c r="S109" s="35">
        <f t="shared" si="14"/>
        <v>0</v>
      </c>
      <c r="T109" s="36">
        <f t="shared" ref="T109:T113" si="15">S109/$S$43</f>
        <v>0</v>
      </c>
      <c r="V109" s="21">
        <f>S109-[1]FPG!S109-'[1]C.E.'!S109</f>
        <v>0</v>
      </c>
      <c r="W109" s="22"/>
    </row>
    <row r="110" spans="1:23" hidden="1" outlineLevel="1" x14ac:dyDescent="0.2">
      <c r="A110" s="9"/>
      <c r="B110" s="48"/>
      <c r="C110" s="31">
        <v>400062</v>
      </c>
      <c r="D110" s="32" t="s">
        <v>91</v>
      </c>
      <c r="E110" s="33"/>
      <c r="F110" s="34">
        <f>[1]FPG!F110+'[1]C.E.'!F110+[1]SAP!F110</f>
        <v>0</v>
      </c>
      <c r="G110" s="34">
        <f>[1]FPG!G110+'[1]C.E.'!G110+[1]SAP!G110</f>
        <v>0</v>
      </c>
      <c r="H110" s="34">
        <f>[1]FPG!H110+'[1]C.E.'!H110+[1]SAP!H110</f>
        <v>0</v>
      </c>
      <c r="I110" s="34">
        <f>[1]FPG!I110+'[1]C.E.'!I110+[1]SAP!I110</f>
        <v>0</v>
      </c>
      <c r="J110" s="34">
        <f>[1]FPG!J110+'[1]C.E.'!J110+[1]SAP!J110</f>
        <v>0</v>
      </c>
      <c r="K110" s="34">
        <f>[1]FPG!K110+'[1]C.E.'!K110+[1]SAP!K110</f>
        <v>0</v>
      </c>
      <c r="L110" s="34">
        <f>[1]FPG!L110+'[1]C.E.'!L110+[1]SAP!L110</f>
        <v>0</v>
      </c>
      <c r="M110" s="34">
        <f>[1]FPG!M110+'[1]C.E.'!M110+[1]SAP!M110</f>
        <v>0</v>
      </c>
      <c r="N110" s="34">
        <f>[1]FPG!N110+'[1]C.E.'!N110+[1]SAP!N110</f>
        <v>0</v>
      </c>
      <c r="O110" s="34">
        <f>[1]FPG!O110+'[1]C.E.'!O110+[1]SAP!O110</f>
        <v>0</v>
      </c>
      <c r="P110" s="34">
        <f>[1]FPG!P110+'[1]C.E.'!P110+[1]SAP!P110</f>
        <v>0</v>
      </c>
      <c r="Q110" s="34">
        <f>[1]FPG!Q110+'[1]C.E.'!Q110+[1]SAP!Q110</f>
        <v>0</v>
      </c>
      <c r="R110" s="27"/>
      <c r="S110" s="35">
        <f t="shared" si="14"/>
        <v>0</v>
      </c>
      <c r="T110" s="36">
        <f t="shared" si="15"/>
        <v>0</v>
      </c>
      <c r="V110" s="21">
        <f>S110-[1]FPG!S110-'[1]C.E.'!S110</f>
        <v>0</v>
      </c>
      <c r="W110" s="22"/>
    </row>
    <row r="111" spans="1:23" hidden="1" outlineLevel="1" x14ac:dyDescent="0.2">
      <c r="A111" s="9"/>
      <c r="B111" s="48"/>
      <c r="C111" s="31">
        <v>400063</v>
      </c>
      <c r="D111" s="32" t="s">
        <v>92</v>
      </c>
      <c r="E111" s="33"/>
      <c r="F111" s="34">
        <f>[1]FPG!F111+'[1]C.E.'!F111+[1]SAP!F111</f>
        <v>0</v>
      </c>
      <c r="G111" s="34">
        <f>[1]FPG!G111+'[1]C.E.'!G111+[1]SAP!G111</f>
        <v>0</v>
      </c>
      <c r="H111" s="34">
        <f>[1]FPG!H111+'[1]C.E.'!H111+[1]SAP!H111</f>
        <v>0</v>
      </c>
      <c r="I111" s="34">
        <f>[1]FPG!I111+'[1]C.E.'!I111+[1]SAP!I111</f>
        <v>0</v>
      </c>
      <c r="J111" s="34">
        <f>[1]FPG!J111+'[1]C.E.'!J111+[1]SAP!J111</f>
        <v>0</v>
      </c>
      <c r="K111" s="34">
        <f>[1]FPG!K111+'[1]C.E.'!K111+[1]SAP!K111</f>
        <v>0</v>
      </c>
      <c r="L111" s="34">
        <f>[1]FPG!L111+'[1]C.E.'!L111+[1]SAP!L111</f>
        <v>0</v>
      </c>
      <c r="M111" s="34">
        <f>[1]FPG!M111+'[1]C.E.'!M111+[1]SAP!M111</f>
        <v>0</v>
      </c>
      <c r="N111" s="34">
        <f>[1]FPG!N111+'[1]C.E.'!N111+[1]SAP!N111</f>
        <v>0</v>
      </c>
      <c r="O111" s="34">
        <f>[1]FPG!O111+'[1]C.E.'!O111+[1]SAP!O111</f>
        <v>0</v>
      </c>
      <c r="P111" s="34">
        <f>[1]FPG!P111+'[1]C.E.'!P111+[1]SAP!P111</f>
        <v>0</v>
      </c>
      <c r="Q111" s="34">
        <f>[1]FPG!Q111+'[1]C.E.'!Q111+[1]SAP!Q111</f>
        <v>0</v>
      </c>
      <c r="R111" s="27"/>
      <c r="S111" s="35">
        <f t="shared" si="14"/>
        <v>0</v>
      </c>
      <c r="T111" s="36">
        <f t="shared" si="15"/>
        <v>0</v>
      </c>
      <c r="V111" s="21">
        <f>S111-[1]FPG!S111-'[1]C.E.'!S111</f>
        <v>0</v>
      </c>
      <c r="W111" s="22"/>
    </row>
    <row r="112" spans="1:23" hidden="1" outlineLevel="1" x14ac:dyDescent="0.2">
      <c r="A112" s="9"/>
      <c r="B112" s="48"/>
      <c r="C112" s="31">
        <v>400064</v>
      </c>
      <c r="D112" s="32" t="s">
        <v>93</v>
      </c>
      <c r="E112" s="33"/>
      <c r="F112" s="34">
        <f>[1]FPG!F112+'[1]C.E.'!F112+[1]SAP!F112</f>
        <v>0</v>
      </c>
      <c r="G112" s="34">
        <f>[1]FPG!G112+'[1]C.E.'!G112+[1]SAP!G112</f>
        <v>0</v>
      </c>
      <c r="H112" s="34">
        <f>[1]FPG!H112+'[1]C.E.'!H112+[1]SAP!H112</f>
        <v>0</v>
      </c>
      <c r="I112" s="34">
        <f>[1]FPG!I112+'[1]C.E.'!I112+[1]SAP!I112</f>
        <v>0</v>
      </c>
      <c r="J112" s="34">
        <f>[1]FPG!J112+'[1]C.E.'!J112+[1]SAP!J112</f>
        <v>0</v>
      </c>
      <c r="K112" s="34">
        <f>[1]FPG!K112+'[1]C.E.'!K112+[1]SAP!K112</f>
        <v>0</v>
      </c>
      <c r="L112" s="34">
        <f>[1]FPG!L112+'[1]C.E.'!L112+[1]SAP!L112</f>
        <v>0</v>
      </c>
      <c r="M112" s="34">
        <f>[1]FPG!M112+'[1]C.E.'!M112+[1]SAP!M112</f>
        <v>0</v>
      </c>
      <c r="N112" s="34">
        <f>[1]FPG!N112+'[1]C.E.'!N112+[1]SAP!N112</f>
        <v>0</v>
      </c>
      <c r="O112" s="34">
        <f>[1]FPG!O112+'[1]C.E.'!O112+[1]SAP!O112</f>
        <v>0</v>
      </c>
      <c r="P112" s="34">
        <f>[1]FPG!P112+'[1]C.E.'!P112+[1]SAP!P112</f>
        <v>0</v>
      </c>
      <c r="Q112" s="34">
        <f>[1]FPG!Q112+'[1]C.E.'!Q112+[1]SAP!Q112</f>
        <v>0</v>
      </c>
      <c r="R112" s="27"/>
      <c r="S112" s="35">
        <f t="shared" si="14"/>
        <v>0</v>
      </c>
      <c r="T112" s="36">
        <f t="shared" si="15"/>
        <v>0</v>
      </c>
      <c r="V112" s="21">
        <f>S112-[1]FPG!S112-'[1]C.E.'!S112</f>
        <v>0</v>
      </c>
      <c r="W112" s="22"/>
    </row>
    <row r="113" spans="1:23" hidden="1" outlineLevel="1" x14ac:dyDescent="0.2">
      <c r="A113" s="9"/>
      <c r="B113" s="48"/>
      <c r="C113" s="31">
        <v>400065</v>
      </c>
      <c r="D113" s="32" t="s">
        <v>94</v>
      </c>
      <c r="E113" s="33"/>
      <c r="F113" s="34">
        <f>[1]FPG!F113+'[1]C.E.'!F113+[1]SAP!F113</f>
        <v>0</v>
      </c>
      <c r="G113" s="34">
        <f>[1]FPG!G113+'[1]C.E.'!G113+[1]SAP!G113</f>
        <v>0</v>
      </c>
      <c r="H113" s="34">
        <f>[1]FPG!H113+'[1]C.E.'!H113+[1]SAP!H113</f>
        <v>0</v>
      </c>
      <c r="I113" s="34">
        <f>[1]FPG!I113+'[1]C.E.'!I113+[1]SAP!I113</f>
        <v>0</v>
      </c>
      <c r="J113" s="34">
        <f>[1]FPG!J113+'[1]C.E.'!J113+[1]SAP!J113</f>
        <v>0</v>
      </c>
      <c r="K113" s="34">
        <f>[1]FPG!K113+'[1]C.E.'!K113+[1]SAP!K113</f>
        <v>0</v>
      </c>
      <c r="L113" s="34">
        <f>[1]FPG!L113+'[1]C.E.'!L113+[1]SAP!L113</f>
        <v>0</v>
      </c>
      <c r="M113" s="34">
        <f>[1]FPG!M113+'[1]C.E.'!M113+[1]SAP!M113</f>
        <v>0</v>
      </c>
      <c r="N113" s="34">
        <f>[1]FPG!N113+'[1]C.E.'!N113+[1]SAP!N113</f>
        <v>0</v>
      </c>
      <c r="O113" s="34">
        <f>[1]FPG!O113+'[1]C.E.'!O113+[1]SAP!O113</f>
        <v>0</v>
      </c>
      <c r="P113" s="34">
        <f>[1]FPG!P113+'[1]C.E.'!P113+[1]SAP!P113</f>
        <v>0</v>
      </c>
      <c r="Q113" s="34">
        <f>[1]FPG!Q113+'[1]C.E.'!Q113+[1]SAP!Q113</f>
        <v>0</v>
      </c>
      <c r="R113" s="27"/>
      <c r="S113" s="35">
        <f t="shared" si="14"/>
        <v>0</v>
      </c>
      <c r="T113" s="36">
        <f t="shared" si="15"/>
        <v>0</v>
      </c>
      <c r="V113" s="21">
        <f>S113-[1]FPG!S113-'[1]C.E.'!S113</f>
        <v>0</v>
      </c>
      <c r="W113" s="22"/>
    </row>
    <row r="114" spans="1:23" s="60" customFormat="1" x14ac:dyDescent="0.2">
      <c r="A114" s="53"/>
      <c r="B114" s="54" t="s">
        <v>100</v>
      </c>
      <c r="C114" s="54" t="s">
        <v>101</v>
      </c>
      <c r="D114" s="55"/>
      <c r="E114" s="56" t="s">
        <v>102</v>
      </c>
      <c r="F114" s="57">
        <f>SUM(F115:F145)</f>
        <v>45416.666666666664</v>
      </c>
      <c r="G114" s="57">
        <f>SUM(G115:G145)</f>
        <v>15416.666666666666</v>
      </c>
      <c r="H114" s="57">
        <f t="shared" ref="H114:P114" si="16">SUM(H115:H145)</f>
        <v>107916.66666666667</v>
      </c>
      <c r="I114" s="57">
        <f t="shared" si="16"/>
        <v>45416.666666666664</v>
      </c>
      <c r="J114" s="57">
        <f t="shared" si="16"/>
        <v>25416.666666666664</v>
      </c>
      <c r="K114" s="57">
        <f t="shared" si="16"/>
        <v>55416.666666666664</v>
      </c>
      <c r="L114" s="57">
        <f t="shared" si="16"/>
        <v>77916.666666666672</v>
      </c>
      <c r="M114" s="57">
        <f t="shared" si="16"/>
        <v>160416.66666666666</v>
      </c>
      <c r="N114" s="57">
        <f t="shared" si="16"/>
        <v>147916.66666666666</v>
      </c>
      <c r="O114" s="57">
        <f t="shared" si="16"/>
        <v>92916.666666666672</v>
      </c>
      <c r="P114" s="57">
        <f t="shared" si="16"/>
        <v>15416.666666666666</v>
      </c>
      <c r="Q114" s="57">
        <f>SUM(Q115:Q145)</f>
        <v>50416.666666666664</v>
      </c>
      <c r="R114" s="58"/>
      <c r="S114" s="59">
        <f>SUM(F114:R114)</f>
        <v>839999.99999999988</v>
      </c>
      <c r="T114" s="29">
        <f>S114/$S$43</f>
        <v>7.1769517689942317E-2</v>
      </c>
      <c r="V114" s="21">
        <f>S114-[1]FPG!S114-'[1]C.E.'!S114</f>
        <v>0</v>
      </c>
      <c r="W114" s="22"/>
    </row>
    <row r="115" spans="1:23" hidden="1" outlineLevel="1" x14ac:dyDescent="0.2">
      <c r="A115" s="9"/>
      <c r="B115" s="48"/>
      <c r="C115" s="31">
        <v>400066</v>
      </c>
      <c r="D115" s="32" t="s">
        <v>103</v>
      </c>
      <c r="E115" s="33"/>
      <c r="F115" s="34">
        <f>[1]FPG!F115+'[1]C.E.'!F115+[1]SAP!F115</f>
        <v>0</v>
      </c>
      <c r="G115" s="34">
        <f>[1]FPG!G115+'[1]C.E.'!G115+[1]SAP!G115</f>
        <v>0</v>
      </c>
      <c r="H115" s="34">
        <f>[1]FPG!H115+'[1]C.E.'!H115+[1]SAP!H115</f>
        <v>0</v>
      </c>
      <c r="I115" s="34">
        <f>[1]FPG!I115+'[1]C.E.'!I115+[1]SAP!I115</f>
        <v>0</v>
      </c>
      <c r="J115" s="34">
        <f>[1]FPG!J115+'[1]C.E.'!J115+[1]SAP!J115</f>
        <v>0</v>
      </c>
      <c r="K115" s="34">
        <f>[1]FPG!K115+'[1]C.E.'!K115+[1]SAP!K115</f>
        <v>0</v>
      </c>
      <c r="L115" s="34">
        <f>[1]FPG!L115+'[1]C.E.'!L115+[1]SAP!L115</f>
        <v>0</v>
      </c>
      <c r="M115" s="34">
        <f>[1]FPG!M115+'[1]C.E.'!M115+[1]SAP!M115</f>
        <v>0</v>
      </c>
      <c r="N115" s="34">
        <f>[1]FPG!N115+'[1]C.E.'!N115+[1]SAP!N115</f>
        <v>0</v>
      </c>
      <c r="O115" s="34">
        <f>[1]FPG!O115+'[1]C.E.'!O115+[1]SAP!O115</f>
        <v>0</v>
      </c>
      <c r="P115" s="34">
        <f>[1]FPG!P115+'[1]C.E.'!P115+[1]SAP!P115</f>
        <v>0</v>
      </c>
      <c r="Q115" s="34">
        <f>[1]FPG!Q115+'[1]C.E.'!Q115+[1]SAP!Q115</f>
        <v>0</v>
      </c>
      <c r="R115" s="27"/>
      <c r="S115" s="35">
        <f t="shared" si="14"/>
        <v>0</v>
      </c>
      <c r="T115" s="36">
        <f t="shared" ref="T115:T145" si="17">S115/$S$43</f>
        <v>0</v>
      </c>
      <c r="V115" s="21">
        <f>S115-[1]FPG!S115-'[1]C.E.'!S115</f>
        <v>0</v>
      </c>
      <c r="W115" s="22"/>
    </row>
    <row r="116" spans="1:23" hidden="1" outlineLevel="1" x14ac:dyDescent="0.2">
      <c r="A116" s="9"/>
      <c r="B116" s="48"/>
      <c r="C116" s="31">
        <v>400067</v>
      </c>
      <c r="D116" s="32" t="s">
        <v>104</v>
      </c>
      <c r="E116" s="33"/>
      <c r="F116" s="34">
        <f>[1]FPG!F116+'[1]C.E.'!F116+[1]SAP!F116</f>
        <v>0</v>
      </c>
      <c r="G116" s="34">
        <f>[1]FPG!G116+'[1]C.E.'!G116+[1]SAP!G116</f>
        <v>0</v>
      </c>
      <c r="H116" s="34">
        <f>[1]FPG!H116+'[1]C.E.'!H116+[1]SAP!H116</f>
        <v>0</v>
      </c>
      <c r="I116" s="34">
        <f>[1]FPG!I116+'[1]C.E.'!I116+[1]SAP!I116</f>
        <v>0</v>
      </c>
      <c r="J116" s="34">
        <f>[1]FPG!J116+'[1]C.E.'!J116+[1]SAP!J116</f>
        <v>0</v>
      </c>
      <c r="K116" s="34">
        <f>[1]FPG!K116+'[1]C.E.'!K116+[1]SAP!K116</f>
        <v>0</v>
      </c>
      <c r="L116" s="34">
        <f>[1]FPG!L116+'[1]C.E.'!L116+[1]SAP!L116</f>
        <v>0</v>
      </c>
      <c r="M116" s="34">
        <f>[1]FPG!M116+'[1]C.E.'!M116+[1]SAP!M116</f>
        <v>0</v>
      </c>
      <c r="N116" s="34">
        <f>[1]FPG!N116+'[1]C.E.'!N116+[1]SAP!N116</f>
        <v>0</v>
      </c>
      <c r="O116" s="34">
        <f>[1]FPG!O116+'[1]C.E.'!O116+[1]SAP!O116</f>
        <v>0</v>
      </c>
      <c r="P116" s="34">
        <f>[1]FPG!P116+'[1]C.E.'!P116+[1]SAP!P116</f>
        <v>0</v>
      </c>
      <c r="Q116" s="34">
        <f>[1]FPG!Q116+'[1]C.E.'!Q116+[1]SAP!Q116</f>
        <v>0</v>
      </c>
      <c r="R116" s="27"/>
      <c r="S116" s="35">
        <f t="shared" si="14"/>
        <v>0</v>
      </c>
      <c r="T116" s="36">
        <f t="shared" si="17"/>
        <v>0</v>
      </c>
      <c r="V116" s="21">
        <f>S116-[1]FPG!S116-'[1]C.E.'!S116</f>
        <v>0</v>
      </c>
      <c r="W116" s="22"/>
    </row>
    <row r="117" spans="1:23" hidden="1" outlineLevel="1" x14ac:dyDescent="0.2">
      <c r="A117" s="9"/>
      <c r="B117" s="48"/>
      <c r="C117" s="31">
        <v>400068</v>
      </c>
      <c r="D117" s="32" t="s">
        <v>105</v>
      </c>
      <c r="E117" s="33"/>
      <c r="F117" s="34">
        <f>[1]FPG!F117+'[1]C.E.'!F117+[1]SAP!F117</f>
        <v>0</v>
      </c>
      <c r="G117" s="34">
        <f>[1]FPG!G117+'[1]C.E.'!G117+[1]SAP!G117</f>
        <v>0</v>
      </c>
      <c r="H117" s="34">
        <f>[1]FPG!H117+'[1]C.E.'!H117+[1]SAP!H117</f>
        <v>0</v>
      </c>
      <c r="I117" s="34">
        <f>[1]FPG!I117+'[1]C.E.'!I117+[1]SAP!I117</f>
        <v>0</v>
      </c>
      <c r="J117" s="34">
        <f>[1]FPG!J117+'[1]C.E.'!J117+[1]SAP!J117</f>
        <v>0</v>
      </c>
      <c r="K117" s="34">
        <f>[1]FPG!K117+'[1]C.E.'!K117+[1]SAP!K117</f>
        <v>0</v>
      </c>
      <c r="L117" s="34">
        <f>[1]FPG!L117+'[1]C.E.'!L117+[1]SAP!L117</f>
        <v>0</v>
      </c>
      <c r="M117" s="34">
        <f>[1]FPG!M117+'[1]C.E.'!M117+[1]SAP!M117</f>
        <v>0</v>
      </c>
      <c r="N117" s="34">
        <f>[1]FPG!N117+'[1]C.E.'!N117+[1]SAP!N117</f>
        <v>0</v>
      </c>
      <c r="O117" s="34">
        <f>[1]FPG!O117+'[1]C.E.'!O117+[1]SAP!O117</f>
        <v>0</v>
      </c>
      <c r="P117" s="34">
        <f>[1]FPG!P117+'[1]C.E.'!P117+[1]SAP!P117</f>
        <v>0</v>
      </c>
      <c r="Q117" s="34">
        <f>[1]FPG!Q117+'[1]C.E.'!Q117+[1]SAP!Q117</f>
        <v>0</v>
      </c>
      <c r="R117" s="27"/>
      <c r="S117" s="35">
        <f t="shared" si="14"/>
        <v>0</v>
      </c>
      <c r="T117" s="36">
        <f t="shared" si="17"/>
        <v>0</v>
      </c>
      <c r="V117" s="21">
        <f>S117-[1]FPG!S117-'[1]C.E.'!S117</f>
        <v>0</v>
      </c>
      <c r="W117" s="22"/>
    </row>
    <row r="118" spans="1:23" hidden="1" outlineLevel="1" x14ac:dyDescent="0.2">
      <c r="A118" s="9"/>
      <c r="B118" s="48"/>
      <c r="C118" s="31">
        <v>400069</v>
      </c>
      <c r="D118" s="32" t="s">
        <v>106</v>
      </c>
      <c r="E118" s="33"/>
      <c r="F118" s="34">
        <f>[1]FPG!F118+'[1]C.E.'!F118+[1]SAP!F118</f>
        <v>0</v>
      </c>
      <c r="G118" s="34">
        <f>[1]FPG!G118+'[1]C.E.'!G118+[1]SAP!G118</f>
        <v>0</v>
      </c>
      <c r="H118" s="34">
        <f>[1]FPG!H118+'[1]C.E.'!H118+[1]SAP!H118</f>
        <v>0</v>
      </c>
      <c r="I118" s="34">
        <f>[1]FPG!I118+'[1]C.E.'!I118+[1]SAP!I118</f>
        <v>0</v>
      </c>
      <c r="J118" s="34">
        <f>[1]FPG!J118+'[1]C.E.'!J118+[1]SAP!J118</f>
        <v>0</v>
      </c>
      <c r="K118" s="34">
        <f>[1]FPG!K118+'[1]C.E.'!K118+[1]SAP!K118</f>
        <v>0</v>
      </c>
      <c r="L118" s="34">
        <f>[1]FPG!L118+'[1]C.E.'!L118+[1]SAP!L118</f>
        <v>0</v>
      </c>
      <c r="M118" s="34">
        <f>[1]FPG!M118+'[1]C.E.'!M118+[1]SAP!M118</f>
        <v>0</v>
      </c>
      <c r="N118" s="34">
        <f>[1]FPG!N118+'[1]C.E.'!N118+[1]SAP!N118</f>
        <v>0</v>
      </c>
      <c r="O118" s="34">
        <f>[1]FPG!O118+'[1]C.E.'!O118+[1]SAP!O118</f>
        <v>0</v>
      </c>
      <c r="P118" s="34">
        <f>[1]FPG!P118+'[1]C.E.'!P118+[1]SAP!P118</f>
        <v>0</v>
      </c>
      <c r="Q118" s="34">
        <f>[1]FPG!Q118+'[1]C.E.'!Q118+[1]SAP!Q118</f>
        <v>0</v>
      </c>
      <c r="R118" s="27"/>
      <c r="S118" s="35">
        <f t="shared" si="14"/>
        <v>0</v>
      </c>
      <c r="T118" s="36">
        <f t="shared" si="17"/>
        <v>0</v>
      </c>
      <c r="V118" s="21">
        <f>S118-[1]FPG!S118-'[1]C.E.'!S118</f>
        <v>0</v>
      </c>
      <c r="W118" s="22"/>
    </row>
    <row r="119" spans="1:23" hidden="1" outlineLevel="1" x14ac:dyDescent="0.2">
      <c r="A119" s="9"/>
      <c r="B119" s="48"/>
      <c r="C119" s="31">
        <v>400070</v>
      </c>
      <c r="D119" s="32" t="s">
        <v>107</v>
      </c>
      <c r="E119" s="33"/>
      <c r="F119" s="34">
        <f>[1]FPG!F119+'[1]C.E.'!F119+[1]SAP!F119</f>
        <v>0</v>
      </c>
      <c r="G119" s="34">
        <f>[1]FPG!G119+'[1]C.E.'!G119+[1]SAP!G119</f>
        <v>0</v>
      </c>
      <c r="H119" s="34">
        <f>[1]FPG!H119+'[1]C.E.'!H119+[1]SAP!H119</f>
        <v>0</v>
      </c>
      <c r="I119" s="34">
        <f>[1]FPG!I119+'[1]C.E.'!I119+[1]SAP!I119</f>
        <v>0</v>
      </c>
      <c r="J119" s="34">
        <f>[1]FPG!J119+'[1]C.E.'!J119+[1]SAP!J119</f>
        <v>0</v>
      </c>
      <c r="K119" s="34">
        <f>[1]FPG!K119+'[1]C.E.'!K119+[1]SAP!K119</f>
        <v>0</v>
      </c>
      <c r="L119" s="34">
        <f>[1]FPG!L119+'[1]C.E.'!L119+[1]SAP!L119</f>
        <v>0</v>
      </c>
      <c r="M119" s="34">
        <f>[1]FPG!M119+'[1]C.E.'!M119+[1]SAP!M119</f>
        <v>0</v>
      </c>
      <c r="N119" s="34">
        <f>[1]FPG!N119+'[1]C.E.'!N119+[1]SAP!N119</f>
        <v>0</v>
      </c>
      <c r="O119" s="34">
        <f>[1]FPG!O119+'[1]C.E.'!O119+[1]SAP!O119</f>
        <v>0</v>
      </c>
      <c r="P119" s="34">
        <f>[1]FPG!P119+'[1]C.E.'!P119+[1]SAP!P119</f>
        <v>0</v>
      </c>
      <c r="Q119" s="34">
        <f>[1]FPG!Q119+'[1]C.E.'!Q119+[1]SAP!Q119</f>
        <v>0</v>
      </c>
      <c r="R119" s="27"/>
      <c r="S119" s="35">
        <f t="shared" si="14"/>
        <v>0</v>
      </c>
      <c r="T119" s="36">
        <f t="shared" si="17"/>
        <v>0</v>
      </c>
      <c r="V119" s="21">
        <f>S119-[1]FPG!S119-'[1]C.E.'!S119</f>
        <v>0</v>
      </c>
      <c r="W119" s="22"/>
    </row>
    <row r="120" spans="1:23" outlineLevel="1" x14ac:dyDescent="0.2">
      <c r="A120" s="9"/>
      <c r="B120" s="48"/>
      <c r="C120" s="43">
        <v>400071</v>
      </c>
      <c r="D120" s="44" t="s">
        <v>108</v>
      </c>
      <c r="E120" s="61"/>
      <c r="F120" s="34">
        <f>[1]FPG!F120+'[1]C.E.'!F120+[1]SAP!F120</f>
        <v>0</v>
      </c>
      <c r="G120" s="34">
        <f>[1]FPG!G120+'[1]C.E.'!G120+[1]SAP!G120</f>
        <v>0</v>
      </c>
      <c r="H120" s="34">
        <f>[1]FPG!H120+'[1]C.E.'!H120+[1]SAP!H120</f>
        <v>0</v>
      </c>
      <c r="I120" s="34">
        <f>[1]FPG!I120+'[1]C.E.'!I120+[1]SAP!I120</f>
        <v>0</v>
      </c>
      <c r="J120" s="34">
        <f>[1]FPG!J120+'[1]C.E.'!J120+[1]SAP!J120</f>
        <v>0</v>
      </c>
      <c r="K120" s="34">
        <f>[1]FPG!K120+'[1]C.E.'!K120+[1]SAP!K120</f>
        <v>0</v>
      </c>
      <c r="L120" s="34">
        <f>[1]FPG!L120+'[1]C.E.'!L120+[1]SAP!L120</f>
        <v>0</v>
      </c>
      <c r="M120" s="34">
        <f>[1]FPG!M120+'[1]C.E.'!M120+[1]SAP!M120</f>
        <v>0</v>
      </c>
      <c r="N120" s="34">
        <f>[1]FPG!N120+'[1]C.E.'!N120+[1]SAP!N120</f>
        <v>0</v>
      </c>
      <c r="O120" s="34">
        <f>[1]FPG!O120+'[1]C.E.'!O120+[1]SAP!O120</f>
        <v>20000</v>
      </c>
      <c r="P120" s="34">
        <f>[1]FPG!P120+'[1]C.E.'!P120+[1]SAP!P120</f>
        <v>0</v>
      </c>
      <c r="Q120" s="34">
        <f>[1]FPG!Q120+'[1]C.E.'!Q120+[1]SAP!Q120</f>
        <v>50000</v>
      </c>
      <c r="R120" s="27"/>
      <c r="S120" s="35">
        <f>SUM(F120:R120)</f>
        <v>70000</v>
      </c>
      <c r="T120" s="36">
        <f t="shared" si="17"/>
        <v>5.9807931408285267E-3</v>
      </c>
      <c r="V120" s="21">
        <f>S120-[1]FPG!S120-'[1]C.E.'!S120</f>
        <v>0</v>
      </c>
      <c r="W120" s="22"/>
    </row>
    <row r="121" spans="1:23" hidden="1" outlineLevel="1" x14ac:dyDescent="0.2">
      <c r="A121" s="9"/>
      <c r="B121" s="48"/>
      <c r="C121" s="31">
        <v>400072</v>
      </c>
      <c r="D121" s="32" t="s">
        <v>109</v>
      </c>
      <c r="E121" s="33"/>
      <c r="F121" s="34">
        <f>[1]FPG!F121+'[1]C.E.'!F121+[1]SAP!F121</f>
        <v>0</v>
      </c>
      <c r="G121" s="34">
        <f>[1]FPG!G121+'[1]C.E.'!G121+[1]SAP!G121</f>
        <v>0</v>
      </c>
      <c r="H121" s="34">
        <f>[1]FPG!H121+'[1]C.E.'!H121+[1]SAP!H121</f>
        <v>0</v>
      </c>
      <c r="I121" s="34">
        <f>[1]FPG!I121+'[1]C.E.'!I121+[1]SAP!I121</f>
        <v>0</v>
      </c>
      <c r="J121" s="34">
        <f>[1]FPG!J121+'[1]C.E.'!J121+[1]SAP!J121</f>
        <v>0</v>
      </c>
      <c r="K121" s="34">
        <f>[1]FPG!K121+'[1]C.E.'!K121+[1]SAP!K121</f>
        <v>0</v>
      </c>
      <c r="L121" s="34">
        <f>[1]FPG!L121+'[1]C.E.'!L121+[1]SAP!L121</f>
        <v>0</v>
      </c>
      <c r="M121" s="34">
        <f>[1]FPG!M121+'[1]C.E.'!M121+[1]SAP!M121</f>
        <v>0</v>
      </c>
      <c r="N121" s="34">
        <f>[1]FPG!N121+'[1]C.E.'!N121+[1]SAP!N121</f>
        <v>0</v>
      </c>
      <c r="O121" s="34">
        <f>[1]FPG!O121+'[1]C.E.'!O121+[1]SAP!O121</f>
        <v>0</v>
      </c>
      <c r="P121" s="34">
        <f>[1]FPG!P121+'[1]C.E.'!P121+[1]SAP!P121</f>
        <v>0</v>
      </c>
      <c r="Q121" s="34">
        <f>[1]FPG!Q121+'[1]C.E.'!Q121+[1]SAP!Q121</f>
        <v>0</v>
      </c>
      <c r="R121" s="27"/>
      <c r="S121" s="35">
        <f t="shared" si="14"/>
        <v>0</v>
      </c>
      <c r="T121" s="36">
        <f t="shared" si="17"/>
        <v>0</v>
      </c>
      <c r="V121" s="21">
        <f>S121-[1]FPG!S121-'[1]C.E.'!S121</f>
        <v>0</v>
      </c>
      <c r="W121" s="22"/>
    </row>
    <row r="122" spans="1:23" hidden="1" outlineLevel="1" x14ac:dyDescent="0.2">
      <c r="A122" s="9"/>
      <c r="B122" s="48"/>
      <c r="C122" s="31">
        <v>400073</v>
      </c>
      <c r="D122" s="32" t="s">
        <v>110</v>
      </c>
      <c r="E122" s="33"/>
      <c r="F122" s="34">
        <f>[1]FPG!F122+'[1]C.E.'!F122+[1]SAP!F122</f>
        <v>0</v>
      </c>
      <c r="G122" s="34">
        <f>[1]FPG!G122+'[1]C.E.'!G122+[1]SAP!G122</f>
        <v>0</v>
      </c>
      <c r="H122" s="34">
        <f>[1]FPG!H122+'[1]C.E.'!H122+[1]SAP!H122</f>
        <v>0</v>
      </c>
      <c r="I122" s="34">
        <f>[1]FPG!I122+'[1]C.E.'!I122+[1]SAP!I122</f>
        <v>0</v>
      </c>
      <c r="J122" s="34">
        <f>[1]FPG!J122+'[1]C.E.'!J122+[1]SAP!J122</f>
        <v>0</v>
      </c>
      <c r="K122" s="34">
        <f>[1]FPG!K122+'[1]C.E.'!K122+[1]SAP!K122</f>
        <v>0</v>
      </c>
      <c r="L122" s="34">
        <f>[1]FPG!L122+'[1]C.E.'!L122+[1]SAP!L122</f>
        <v>0</v>
      </c>
      <c r="M122" s="34">
        <f>[1]FPG!M122+'[1]C.E.'!M122+[1]SAP!M122</f>
        <v>0</v>
      </c>
      <c r="N122" s="34">
        <f>[1]FPG!N122+'[1]C.E.'!N122+[1]SAP!N122</f>
        <v>0</v>
      </c>
      <c r="O122" s="34">
        <f>[1]FPG!O122+'[1]C.E.'!O122+[1]SAP!O122</f>
        <v>0</v>
      </c>
      <c r="P122" s="34">
        <f>[1]FPG!P122+'[1]C.E.'!P122+[1]SAP!P122</f>
        <v>0</v>
      </c>
      <c r="Q122" s="34">
        <f>[1]FPG!Q122+'[1]C.E.'!Q122+[1]SAP!Q122</f>
        <v>0</v>
      </c>
      <c r="R122" s="27"/>
      <c r="S122" s="35">
        <f t="shared" si="14"/>
        <v>0</v>
      </c>
      <c r="T122" s="36">
        <f t="shared" si="17"/>
        <v>0</v>
      </c>
      <c r="V122" s="21">
        <f>S122-[1]FPG!S122-'[1]C.E.'!S122</f>
        <v>0</v>
      </c>
      <c r="W122" s="22"/>
    </row>
    <row r="123" spans="1:23" hidden="1" outlineLevel="1" x14ac:dyDescent="0.2">
      <c r="A123" s="9"/>
      <c r="B123" s="48"/>
      <c r="C123" s="31">
        <v>400074</v>
      </c>
      <c r="D123" s="32" t="s">
        <v>111</v>
      </c>
      <c r="E123" s="33"/>
      <c r="F123" s="34">
        <f>[1]FPG!F123+'[1]C.E.'!F123+[1]SAP!F123</f>
        <v>0</v>
      </c>
      <c r="G123" s="34">
        <f>[1]FPG!G123+'[1]C.E.'!G123+[1]SAP!G123</f>
        <v>0</v>
      </c>
      <c r="H123" s="34">
        <f>[1]FPG!H123+'[1]C.E.'!H123+[1]SAP!H123</f>
        <v>0</v>
      </c>
      <c r="I123" s="34">
        <f>[1]FPG!I123+'[1]C.E.'!I123+[1]SAP!I123</f>
        <v>0</v>
      </c>
      <c r="J123" s="34">
        <f>[1]FPG!J123+'[1]C.E.'!J123+[1]SAP!J123</f>
        <v>0</v>
      </c>
      <c r="K123" s="34">
        <f>[1]FPG!K123+'[1]C.E.'!K123+[1]SAP!K123</f>
        <v>0</v>
      </c>
      <c r="L123" s="34">
        <f>[1]FPG!L123+'[1]C.E.'!L123+[1]SAP!L123</f>
        <v>0</v>
      </c>
      <c r="M123" s="34">
        <f>[1]FPG!M123+'[1]C.E.'!M123+[1]SAP!M123</f>
        <v>0</v>
      </c>
      <c r="N123" s="34">
        <f>[1]FPG!N123+'[1]C.E.'!N123+[1]SAP!N123</f>
        <v>0</v>
      </c>
      <c r="O123" s="34">
        <f>[1]FPG!O123+'[1]C.E.'!O123+[1]SAP!O123</f>
        <v>0</v>
      </c>
      <c r="P123" s="34">
        <f>[1]FPG!P123+'[1]C.E.'!P123+[1]SAP!P123</f>
        <v>0</v>
      </c>
      <c r="Q123" s="34">
        <f>[1]FPG!Q123+'[1]C.E.'!Q123+[1]SAP!Q123</f>
        <v>0</v>
      </c>
      <c r="R123" s="27"/>
      <c r="S123" s="35">
        <f t="shared" si="14"/>
        <v>0</v>
      </c>
      <c r="T123" s="36">
        <f t="shared" si="17"/>
        <v>0</v>
      </c>
      <c r="V123" s="21">
        <f>S123-[1]FPG!S123-'[1]C.E.'!S123</f>
        <v>0</v>
      </c>
      <c r="W123" s="22"/>
    </row>
    <row r="124" spans="1:23" hidden="1" outlineLevel="1" x14ac:dyDescent="0.2">
      <c r="A124" s="9"/>
      <c r="B124" s="48"/>
      <c r="C124" s="31">
        <v>400075</v>
      </c>
      <c r="D124" s="32" t="s">
        <v>112</v>
      </c>
      <c r="E124" s="33"/>
      <c r="F124" s="34">
        <f>[1]FPG!F124+'[1]C.E.'!F124+[1]SAP!F124</f>
        <v>0</v>
      </c>
      <c r="G124" s="34">
        <f>[1]FPG!G124+'[1]C.E.'!G124+[1]SAP!G124</f>
        <v>0</v>
      </c>
      <c r="H124" s="34">
        <f>[1]FPG!H124+'[1]C.E.'!H124+[1]SAP!H124</f>
        <v>0</v>
      </c>
      <c r="I124" s="34">
        <f>[1]FPG!I124+'[1]C.E.'!I124+[1]SAP!I124</f>
        <v>0</v>
      </c>
      <c r="J124" s="34">
        <f>[1]FPG!J124+'[1]C.E.'!J124+[1]SAP!J124</f>
        <v>0</v>
      </c>
      <c r="K124" s="34">
        <f>[1]FPG!K124+'[1]C.E.'!K124+[1]SAP!K124</f>
        <v>0</v>
      </c>
      <c r="L124" s="34">
        <f>[1]FPG!L124+'[1]C.E.'!L124+[1]SAP!L124</f>
        <v>0</v>
      </c>
      <c r="M124" s="34">
        <f>[1]FPG!M124+'[1]C.E.'!M124+[1]SAP!M124</f>
        <v>0</v>
      </c>
      <c r="N124" s="34">
        <f>[1]FPG!N124+'[1]C.E.'!N124+[1]SAP!N124</f>
        <v>0</v>
      </c>
      <c r="O124" s="34">
        <f>[1]FPG!O124+'[1]C.E.'!O124+[1]SAP!O124</f>
        <v>0</v>
      </c>
      <c r="P124" s="34">
        <f>[1]FPG!P124+'[1]C.E.'!P124+[1]SAP!P124</f>
        <v>0</v>
      </c>
      <c r="Q124" s="34">
        <f>[1]FPG!Q124+'[1]C.E.'!Q124+[1]SAP!Q124</f>
        <v>0</v>
      </c>
      <c r="R124" s="27"/>
      <c r="S124" s="35">
        <f t="shared" si="14"/>
        <v>0</v>
      </c>
      <c r="T124" s="36">
        <f t="shared" si="17"/>
        <v>0</v>
      </c>
      <c r="V124" s="21">
        <f>S124-[1]FPG!S124-'[1]C.E.'!S124</f>
        <v>0</v>
      </c>
      <c r="W124" s="22"/>
    </row>
    <row r="125" spans="1:23" hidden="1" outlineLevel="1" x14ac:dyDescent="0.2">
      <c r="A125" s="9"/>
      <c r="B125" s="48"/>
      <c r="C125" s="31">
        <v>400076</v>
      </c>
      <c r="D125" s="32" t="s">
        <v>113</v>
      </c>
      <c r="E125" s="33"/>
      <c r="F125" s="34">
        <f>[1]FPG!F125+'[1]C.E.'!F125+[1]SAP!F125</f>
        <v>0</v>
      </c>
      <c r="G125" s="34">
        <f>[1]FPG!G125+'[1]C.E.'!G125+[1]SAP!G125</f>
        <v>0</v>
      </c>
      <c r="H125" s="34">
        <f>[1]FPG!H125+'[1]C.E.'!H125+[1]SAP!H125</f>
        <v>0</v>
      </c>
      <c r="I125" s="34">
        <f>[1]FPG!I125+'[1]C.E.'!I125+[1]SAP!I125</f>
        <v>0</v>
      </c>
      <c r="J125" s="34">
        <f>[1]FPG!J125+'[1]C.E.'!J125+[1]SAP!J125</f>
        <v>0</v>
      </c>
      <c r="K125" s="34">
        <f>[1]FPG!K125+'[1]C.E.'!K125+[1]SAP!K125</f>
        <v>0</v>
      </c>
      <c r="L125" s="34">
        <f>[1]FPG!L125+'[1]C.E.'!L125+[1]SAP!L125</f>
        <v>0</v>
      </c>
      <c r="M125" s="34">
        <f>[1]FPG!M125+'[1]C.E.'!M125+[1]SAP!M125</f>
        <v>0</v>
      </c>
      <c r="N125" s="34">
        <f>[1]FPG!N125+'[1]C.E.'!N125+[1]SAP!N125</f>
        <v>0</v>
      </c>
      <c r="O125" s="34">
        <f>[1]FPG!O125+'[1]C.E.'!O125+[1]SAP!O125</f>
        <v>0</v>
      </c>
      <c r="P125" s="34">
        <f>[1]FPG!P125+'[1]C.E.'!P125+[1]SAP!P125</f>
        <v>0</v>
      </c>
      <c r="Q125" s="34">
        <f>[1]FPG!Q125+'[1]C.E.'!Q125+[1]SAP!Q125</f>
        <v>0</v>
      </c>
      <c r="R125" s="27"/>
      <c r="S125" s="35">
        <f t="shared" si="14"/>
        <v>0</v>
      </c>
      <c r="T125" s="36">
        <f t="shared" si="17"/>
        <v>0</v>
      </c>
      <c r="V125" s="21">
        <f>S125-[1]FPG!S125-'[1]C.E.'!S125</f>
        <v>0</v>
      </c>
      <c r="W125" s="22"/>
    </row>
    <row r="126" spans="1:23" hidden="1" outlineLevel="1" x14ac:dyDescent="0.2">
      <c r="A126" s="9"/>
      <c r="B126" s="48"/>
      <c r="C126" s="31">
        <v>400077</v>
      </c>
      <c r="D126" s="32" t="s">
        <v>114</v>
      </c>
      <c r="E126" s="33"/>
      <c r="F126" s="34">
        <f>[1]FPG!F126+'[1]C.E.'!F126+[1]SAP!F126</f>
        <v>0</v>
      </c>
      <c r="G126" s="34">
        <f>[1]FPG!G126+'[1]C.E.'!G126+[1]SAP!G126</f>
        <v>0</v>
      </c>
      <c r="H126" s="34">
        <f>[1]FPG!H126+'[1]C.E.'!H126+[1]SAP!H126</f>
        <v>0</v>
      </c>
      <c r="I126" s="34">
        <f>[1]FPG!I126+'[1]C.E.'!I126+[1]SAP!I126</f>
        <v>0</v>
      </c>
      <c r="J126" s="34">
        <f>[1]FPG!J126+'[1]C.E.'!J126+[1]SAP!J126</f>
        <v>0</v>
      </c>
      <c r="K126" s="34">
        <f>[1]FPG!K126+'[1]C.E.'!K126+[1]SAP!K126</f>
        <v>0</v>
      </c>
      <c r="L126" s="34">
        <f>[1]FPG!L126+'[1]C.E.'!L126+[1]SAP!L126</f>
        <v>0</v>
      </c>
      <c r="M126" s="34">
        <f>[1]FPG!M126+'[1]C.E.'!M126+[1]SAP!M126</f>
        <v>0</v>
      </c>
      <c r="N126" s="34">
        <f>[1]FPG!N126+'[1]C.E.'!N126+[1]SAP!N126</f>
        <v>0</v>
      </c>
      <c r="O126" s="34">
        <f>[1]FPG!O126+'[1]C.E.'!O126+[1]SAP!O126</f>
        <v>0</v>
      </c>
      <c r="P126" s="34">
        <f>[1]FPG!P126+'[1]C.E.'!P126+[1]SAP!P126</f>
        <v>0</v>
      </c>
      <c r="Q126" s="34">
        <f>[1]FPG!Q126+'[1]C.E.'!Q126+[1]SAP!Q126</f>
        <v>0</v>
      </c>
      <c r="R126" s="27"/>
      <c r="S126" s="35">
        <f t="shared" si="14"/>
        <v>0</v>
      </c>
      <c r="T126" s="36">
        <f t="shared" si="17"/>
        <v>0</v>
      </c>
      <c r="V126" s="21">
        <f>S126-[1]FPG!S126-'[1]C.E.'!S126</f>
        <v>0</v>
      </c>
      <c r="W126" s="22"/>
    </row>
    <row r="127" spans="1:23" hidden="1" outlineLevel="1" x14ac:dyDescent="0.2">
      <c r="A127" s="9"/>
      <c r="B127" s="48"/>
      <c r="C127" s="31">
        <v>400078</v>
      </c>
      <c r="D127" s="32" t="s">
        <v>115</v>
      </c>
      <c r="E127" s="33"/>
      <c r="F127" s="34">
        <f>[1]FPG!F127+'[1]C.E.'!F127+[1]SAP!F127</f>
        <v>0</v>
      </c>
      <c r="G127" s="34">
        <f>[1]FPG!G127+'[1]C.E.'!G127+[1]SAP!G127</f>
        <v>0</v>
      </c>
      <c r="H127" s="34">
        <f>[1]FPG!H127+'[1]C.E.'!H127+[1]SAP!H127</f>
        <v>0</v>
      </c>
      <c r="I127" s="34">
        <f>[1]FPG!I127+'[1]C.E.'!I127+[1]SAP!I127</f>
        <v>0</v>
      </c>
      <c r="J127" s="34">
        <f>[1]FPG!J127+'[1]C.E.'!J127+[1]SAP!J127</f>
        <v>0</v>
      </c>
      <c r="K127" s="34">
        <f>[1]FPG!K127+'[1]C.E.'!K127+[1]SAP!K127</f>
        <v>0</v>
      </c>
      <c r="L127" s="34">
        <f>[1]FPG!L127+'[1]C.E.'!L127+[1]SAP!L127</f>
        <v>0</v>
      </c>
      <c r="M127" s="34">
        <f>[1]FPG!M127+'[1]C.E.'!M127+[1]SAP!M127</f>
        <v>0</v>
      </c>
      <c r="N127" s="34">
        <f>[1]FPG!N127+'[1]C.E.'!N127+[1]SAP!N127</f>
        <v>0</v>
      </c>
      <c r="O127" s="34">
        <f>[1]FPG!O127+'[1]C.E.'!O127+[1]SAP!O127</f>
        <v>0</v>
      </c>
      <c r="P127" s="34">
        <f>[1]FPG!P127+'[1]C.E.'!P127+[1]SAP!P127</f>
        <v>0</v>
      </c>
      <c r="Q127" s="34">
        <f>[1]FPG!Q127+'[1]C.E.'!Q127+[1]SAP!Q127</f>
        <v>0</v>
      </c>
      <c r="R127" s="27"/>
      <c r="S127" s="35">
        <f t="shared" si="14"/>
        <v>0</v>
      </c>
      <c r="T127" s="36">
        <f t="shared" si="17"/>
        <v>0</v>
      </c>
      <c r="V127" s="21">
        <f>S127-[1]FPG!S127-'[1]C.E.'!S127</f>
        <v>0</v>
      </c>
      <c r="W127" s="22"/>
    </row>
    <row r="128" spans="1:23" hidden="1" outlineLevel="1" x14ac:dyDescent="0.2">
      <c r="A128" s="9"/>
      <c r="B128" s="48"/>
      <c r="C128" s="31">
        <v>400079</v>
      </c>
      <c r="D128" s="32" t="s">
        <v>116</v>
      </c>
      <c r="E128" s="33"/>
      <c r="F128" s="34">
        <f>[1]FPG!F128+'[1]C.E.'!F128+[1]SAP!F128</f>
        <v>0</v>
      </c>
      <c r="G128" s="34">
        <f>[1]FPG!G128+'[1]C.E.'!G128+[1]SAP!G128</f>
        <v>0</v>
      </c>
      <c r="H128" s="34">
        <f>[1]FPG!H128+'[1]C.E.'!H128+[1]SAP!H128</f>
        <v>0</v>
      </c>
      <c r="I128" s="34">
        <f>[1]FPG!I128+'[1]C.E.'!I128+[1]SAP!I128</f>
        <v>0</v>
      </c>
      <c r="J128" s="34">
        <f>[1]FPG!J128+'[1]C.E.'!J128+[1]SAP!J128</f>
        <v>0</v>
      </c>
      <c r="K128" s="34">
        <f>[1]FPG!K128+'[1]C.E.'!K128+[1]SAP!K128</f>
        <v>0</v>
      </c>
      <c r="L128" s="34">
        <f>[1]FPG!L128+'[1]C.E.'!L128+[1]SAP!L128</f>
        <v>0</v>
      </c>
      <c r="M128" s="34">
        <f>[1]FPG!M128+'[1]C.E.'!M128+[1]SAP!M128</f>
        <v>0</v>
      </c>
      <c r="N128" s="34">
        <f>[1]FPG!N128+'[1]C.E.'!N128+[1]SAP!N128</f>
        <v>0</v>
      </c>
      <c r="O128" s="34">
        <f>[1]FPG!O128+'[1]C.E.'!O128+[1]SAP!O128</f>
        <v>0</v>
      </c>
      <c r="P128" s="34">
        <f>[1]FPG!P128+'[1]C.E.'!P128+[1]SAP!P128</f>
        <v>0</v>
      </c>
      <c r="Q128" s="34">
        <f>[1]FPG!Q128+'[1]C.E.'!Q128+[1]SAP!Q128</f>
        <v>0</v>
      </c>
      <c r="R128" s="27"/>
      <c r="S128" s="35">
        <f t="shared" si="14"/>
        <v>0</v>
      </c>
      <c r="T128" s="36">
        <f t="shared" si="17"/>
        <v>0</v>
      </c>
      <c r="V128" s="21">
        <f>S128-[1]FPG!S128-'[1]C.E.'!S128</f>
        <v>0</v>
      </c>
      <c r="W128" s="22"/>
    </row>
    <row r="129" spans="1:23" hidden="1" outlineLevel="1" x14ac:dyDescent="0.2">
      <c r="A129" s="9"/>
      <c r="B129" s="48"/>
      <c r="C129" s="31">
        <v>400080</v>
      </c>
      <c r="D129" s="32" t="s">
        <v>117</v>
      </c>
      <c r="E129" s="33"/>
      <c r="F129" s="34">
        <f>[1]FPG!F129+'[1]C.E.'!F129+[1]SAP!F129</f>
        <v>0</v>
      </c>
      <c r="G129" s="34">
        <f>[1]FPG!G129+'[1]C.E.'!G129+[1]SAP!G129</f>
        <v>0</v>
      </c>
      <c r="H129" s="34">
        <f>[1]FPG!H129+'[1]C.E.'!H129+[1]SAP!H129</f>
        <v>0</v>
      </c>
      <c r="I129" s="34">
        <f>[1]FPG!I129+'[1]C.E.'!I129+[1]SAP!I129</f>
        <v>0</v>
      </c>
      <c r="J129" s="34">
        <f>[1]FPG!J129+'[1]C.E.'!J129+[1]SAP!J129</f>
        <v>0</v>
      </c>
      <c r="K129" s="34">
        <f>[1]FPG!K129+'[1]C.E.'!K129+[1]SAP!K129</f>
        <v>0</v>
      </c>
      <c r="L129" s="34">
        <f>[1]FPG!L129+'[1]C.E.'!L129+[1]SAP!L129</f>
        <v>0</v>
      </c>
      <c r="M129" s="34">
        <f>[1]FPG!M129+'[1]C.E.'!M129+[1]SAP!M129</f>
        <v>0</v>
      </c>
      <c r="N129" s="34">
        <f>[1]FPG!N129+'[1]C.E.'!N129+[1]SAP!N129</f>
        <v>0</v>
      </c>
      <c r="O129" s="34">
        <f>[1]FPG!O129+'[1]C.E.'!O129+[1]SAP!O129</f>
        <v>0</v>
      </c>
      <c r="P129" s="34">
        <f>[1]FPG!P129+'[1]C.E.'!P129+[1]SAP!P129</f>
        <v>0</v>
      </c>
      <c r="Q129" s="34">
        <f>[1]FPG!Q129+'[1]C.E.'!Q129+[1]SAP!Q129</f>
        <v>0</v>
      </c>
      <c r="R129" s="27"/>
      <c r="S129" s="35">
        <f t="shared" si="14"/>
        <v>0</v>
      </c>
      <c r="T129" s="36">
        <f t="shared" si="17"/>
        <v>0</v>
      </c>
      <c r="V129" s="21">
        <f>S129-[1]FPG!S129-'[1]C.E.'!S129</f>
        <v>0</v>
      </c>
      <c r="W129" s="22"/>
    </row>
    <row r="130" spans="1:23" outlineLevel="1" x14ac:dyDescent="0.2">
      <c r="A130" s="9"/>
      <c r="B130" s="48"/>
      <c r="C130" s="31">
        <v>400081</v>
      </c>
      <c r="D130" s="32" t="s">
        <v>118</v>
      </c>
      <c r="E130" s="33"/>
      <c r="F130" s="34">
        <f>[1]FPG!F130+'[1]C.E.'!F130+[1]SAP!F130</f>
        <v>416.66666666666669</v>
      </c>
      <c r="G130" s="34">
        <f>[1]FPG!G130+'[1]C.E.'!G130+[1]SAP!G130</f>
        <v>416.66666666666669</v>
      </c>
      <c r="H130" s="34">
        <f>[1]FPG!H130+'[1]C.E.'!H130+[1]SAP!H130</f>
        <v>416.66666666666669</v>
      </c>
      <c r="I130" s="34">
        <f>[1]FPG!I130+'[1]C.E.'!I130+[1]SAP!I130</f>
        <v>416.66666666666669</v>
      </c>
      <c r="J130" s="34">
        <f>[1]FPG!J130+'[1]C.E.'!J130+[1]SAP!J130</f>
        <v>416.66666666666669</v>
      </c>
      <c r="K130" s="34">
        <f>[1]FPG!K130+'[1]C.E.'!K130+[1]SAP!K130</f>
        <v>416.66666666666669</v>
      </c>
      <c r="L130" s="34">
        <f>[1]FPG!L130+'[1]C.E.'!L130+[1]SAP!L130</f>
        <v>416.66666666666669</v>
      </c>
      <c r="M130" s="34">
        <f>[1]FPG!M130+'[1]C.E.'!M130+[1]SAP!M130</f>
        <v>416.66666666666669</v>
      </c>
      <c r="N130" s="34">
        <f>[1]FPG!N130+'[1]C.E.'!N130+[1]SAP!N130</f>
        <v>416.66666666666669</v>
      </c>
      <c r="O130" s="34">
        <f>[1]FPG!O130+'[1]C.E.'!O130+[1]SAP!O130</f>
        <v>416.66666666666669</v>
      </c>
      <c r="P130" s="34">
        <f>[1]FPG!P130+'[1]C.E.'!P130+[1]SAP!P130</f>
        <v>416.66666666666669</v>
      </c>
      <c r="Q130" s="34">
        <f>[1]FPG!Q130+'[1]C.E.'!Q130+[1]SAP!Q130</f>
        <v>416.66666666666669</v>
      </c>
      <c r="R130" s="27"/>
      <c r="S130" s="35">
        <f t="shared" si="14"/>
        <v>5000</v>
      </c>
      <c r="T130" s="36">
        <f t="shared" si="17"/>
        <v>4.2719951005918045E-4</v>
      </c>
      <c r="V130" s="21">
        <f>S130-[1]FPG!S130-'[1]C.E.'!S130</f>
        <v>0</v>
      </c>
      <c r="W130" s="22"/>
    </row>
    <row r="131" spans="1:23" hidden="1" outlineLevel="1" x14ac:dyDescent="0.2">
      <c r="A131" s="9"/>
      <c r="B131" s="48"/>
      <c r="C131" s="31">
        <v>400082</v>
      </c>
      <c r="D131" s="32" t="s">
        <v>119</v>
      </c>
      <c r="E131" s="33"/>
      <c r="F131" s="34">
        <f>[1]FPG!F131+'[1]C.E.'!F131+[1]SAP!F131</f>
        <v>0</v>
      </c>
      <c r="G131" s="34">
        <f>[1]FPG!G131+'[1]C.E.'!G131+[1]SAP!G131</f>
        <v>0</v>
      </c>
      <c r="H131" s="34">
        <f>[1]FPG!H131+'[1]C.E.'!H131+[1]SAP!H131</f>
        <v>0</v>
      </c>
      <c r="I131" s="34">
        <f>[1]FPG!I131+'[1]C.E.'!I131+[1]SAP!I131</f>
        <v>0</v>
      </c>
      <c r="J131" s="34">
        <f>[1]FPG!J131+'[1]C.E.'!J131+[1]SAP!J131</f>
        <v>0</v>
      </c>
      <c r="K131" s="34">
        <f>[1]FPG!K131+'[1]C.E.'!K131+[1]SAP!K131</f>
        <v>0</v>
      </c>
      <c r="L131" s="34">
        <f>[1]FPG!L131+'[1]C.E.'!L131+[1]SAP!L131</f>
        <v>0</v>
      </c>
      <c r="M131" s="34">
        <f>[1]FPG!M131+'[1]C.E.'!M131+[1]SAP!M131</f>
        <v>0</v>
      </c>
      <c r="N131" s="34">
        <f>[1]FPG!N131+'[1]C.E.'!N131+[1]SAP!N131</f>
        <v>0</v>
      </c>
      <c r="O131" s="34">
        <f>[1]FPG!O131+'[1]C.E.'!O131+[1]SAP!O131</f>
        <v>0</v>
      </c>
      <c r="P131" s="34">
        <f>[1]FPG!P131+'[1]C.E.'!P131+[1]SAP!P131</f>
        <v>0</v>
      </c>
      <c r="Q131" s="34">
        <f>[1]FPG!Q131+'[1]C.E.'!Q131+[1]SAP!Q131</f>
        <v>0</v>
      </c>
      <c r="R131" s="27"/>
      <c r="S131" s="35">
        <f t="shared" si="14"/>
        <v>0</v>
      </c>
      <c r="T131" s="36">
        <f t="shared" si="17"/>
        <v>0</v>
      </c>
      <c r="V131" s="21">
        <f>S131-[1]FPG!S131-'[1]C.E.'!S131</f>
        <v>0</v>
      </c>
      <c r="W131" s="22"/>
    </row>
    <row r="132" spans="1:23" hidden="1" outlineLevel="1" x14ac:dyDescent="0.2">
      <c r="A132" s="9"/>
      <c r="B132" s="48"/>
      <c r="C132" s="31">
        <v>400083</v>
      </c>
      <c r="D132" s="32" t="s">
        <v>120</v>
      </c>
      <c r="E132" s="33"/>
      <c r="F132" s="34">
        <f>[1]FPG!F132+'[1]C.E.'!F132+[1]SAP!F132</f>
        <v>0</v>
      </c>
      <c r="G132" s="34">
        <f>[1]FPG!G132+'[1]C.E.'!G132+[1]SAP!G132</f>
        <v>0</v>
      </c>
      <c r="H132" s="34">
        <f>[1]FPG!H132+'[1]C.E.'!H132+[1]SAP!H132</f>
        <v>0</v>
      </c>
      <c r="I132" s="34">
        <f>[1]FPG!I132+'[1]C.E.'!I132+[1]SAP!I132</f>
        <v>0</v>
      </c>
      <c r="J132" s="34">
        <f>[1]FPG!J132+'[1]C.E.'!J132+[1]SAP!J132</f>
        <v>0</v>
      </c>
      <c r="K132" s="34">
        <f>[1]FPG!K132+'[1]C.E.'!K132+[1]SAP!K132</f>
        <v>0</v>
      </c>
      <c r="L132" s="34">
        <f>[1]FPG!L132+'[1]C.E.'!L132+[1]SAP!L132</f>
        <v>0</v>
      </c>
      <c r="M132" s="34">
        <f>[1]FPG!M132+'[1]C.E.'!M132+[1]SAP!M132</f>
        <v>0</v>
      </c>
      <c r="N132" s="34">
        <f>[1]FPG!N132+'[1]C.E.'!N132+[1]SAP!N132</f>
        <v>0</v>
      </c>
      <c r="O132" s="34">
        <f>[1]FPG!O132+'[1]C.E.'!O132+[1]SAP!O132</f>
        <v>0</v>
      </c>
      <c r="P132" s="34">
        <f>[1]FPG!P132+'[1]C.E.'!P132+[1]SAP!P132</f>
        <v>0</v>
      </c>
      <c r="Q132" s="34">
        <f>[1]FPG!Q132+'[1]C.E.'!Q132+[1]SAP!Q132</f>
        <v>0</v>
      </c>
      <c r="R132" s="27"/>
      <c r="S132" s="35">
        <f t="shared" si="14"/>
        <v>0</v>
      </c>
      <c r="T132" s="36">
        <f t="shared" si="17"/>
        <v>0</v>
      </c>
      <c r="V132" s="21">
        <f>S132-[1]FPG!S132-'[1]C.E.'!S132</f>
        <v>0</v>
      </c>
      <c r="W132" s="22"/>
    </row>
    <row r="133" spans="1:23" hidden="1" outlineLevel="1" x14ac:dyDescent="0.2">
      <c r="A133" s="9"/>
      <c r="B133" s="48"/>
      <c r="C133" s="31">
        <v>400084</v>
      </c>
      <c r="D133" s="32" t="s">
        <v>121</v>
      </c>
      <c r="E133" s="33"/>
      <c r="F133" s="34">
        <f>[1]FPG!F133+'[1]C.E.'!F133+[1]SAP!F133</f>
        <v>0</v>
      </c>
      <c r="G133" s="34">
        <f>[1]FPG!G133+'[1]C.E.'!G133+[1]SAP!G133</f>
        <v>0</v>
      </c>
      <c r="H133" s="34">
        <f>[1]FPG!H133+'[1]C.E.'!H133+[1]SAP!H133</f>
        <v>0</v>
      </c>
      <c r="I133" s="34">
        <f>[1]FPG!I133+'[1]C.E.'!I133+[1]SAP!I133</f>
        <v>0</v>
      </c>
      <c r="J133" s="34">
        <f>[1]FPG!J133+'[1]C.E.'!J133+[1]SAP!J133</f>
        <v>0</v>
      </c>
      <c r="K133" s="34">
        <f>[1]FPG!K133+'[1]C.E.'!K133+[1]SAP!K133</f>
        <v>0</v>
      </c>
      <c r="L133" s="34">
        <f>[1]FPG!L133+'[1]C.E.'!L133+[1]SAP!L133</f>
        <v>0</v>
      </c>
      <c r="M133" s="34">
        <f>[1]FPG!M133+'[1]C.E.'!M133+[1]SAP!M133</f>
        <v>0</v>
      </c>
      <c r="N133" s="34">
        <f>[1]FPG!N133+'[1]C.E.'!N133+[1]SAP!N133</f>
        <v>0</v>
      </c>
      <c r="O133" s="34">
        <f>[1]FPG!O133+'[1]C.E.'!O133+[1]SAP!O133</f>
        <v>0</v>
      </c>
      <c r="P133" s="34">
        <f>[1]FPG!P133+'[1]C.E.'!P133+[1]SAP!P133</f>
        <v>0</v>
      </c>
      <c r="Q133" s="34">
        <f>[1]FPG!Q133+'[1]C.E.'!Q133+[1]SAP!Q133</f>
        <v>0</v>
      </c>
      <c r="R133" s="27"/>
      <c r="S133" s="35">
        <f t="shared" si="14"/>
        <v>0</v>
      </c>
      <c r="T133" s="36">
        <f t="shared" si="17"/>
        <v>0</v>
      </c>
      <c r="V133" s="21">
        <f>S133-[1]FPG!S133-'[1]C.E.'!S133</f>
        <v>0</v>
      </c>
      <c r="W133" s="22"/>
    </row>
    <row r="134" spans="1:23" hidden="1" outlineLevel="1" x14ac:dyDescent="0.2">
      <c r="A134" s="9"/>
      <c r="B134" s="48"/>
      <c r="C134" s="31">
        <v>400085</v>
      </c>
      <c r="D134" s="32" t="s">
        <v>122</v>
      </c>
      <c r="E134" s="33"/>
      <c r="F134" s="34">
        <f>[1]FPG!F134+'[1]C.E.'!F134+[1]SAP!F134</f>
        <v>0</v>
      </c>
      <c r="G134" s="34">
        <f>[1]FPG!G134+'[1]C.E.'!G134+[1]SAP!G134</f>
        <v>0</v>
      </c>
      <c r="H134" s="34">
        <f>[1]FPG!H134+'[1]C.E.'!H134+[1]SAP!H134</f>
        <v>0</v>
      </c>
      <c r="I134" s="34">
        <f>[1]FPG!I134+'[1]C.E.'!I134+[1]SAP!I134</f>
        <v>0</v>
      </c>
      <c r="J134" s="34">
        <f>[1]FPG!J134+'[1]C.E.'!J134+[1]SAP!J134</f>
        <v>0</v>
      </c>
      <c r="K134" s="34">
        <f>[1]FPG!K134+'[1]C.E.'!K134+[1]SAP!K134</f>
        <v>0</v>
      </c>
      <c r="L134" s="34">
        <f>[1]FPG!L134+'[1]C.E.'!L134+[1]SAP!L134</f>
        <v>0</v>
      </c>
      <c r="M134" s="34">
        <f>[1]FPG!M134+'[1]C.E.'!M134+[1]SAP!M134</f>
        <v>0</v>
      </c>
      <c r="N134" s="34">
        <f>[1]FPG!N134+'[1]C.E.'!N134+[1]SAP!N134</f>
        <v>0</v>
      </c>
      <c r="O134" s="34">
        <f>[1]FPG!O134+'[1]C.E.'!O134+[1]SAP!O134</f>
        <v>0</v>
      </c>
      <c r="P134" s="34">
        <f>[1]FPG!P134+'[1]C.E.'!P134+[1]SAP!P134</f>
        <v>0</v>
      </c>
      <c r="Q134" s="34">
        <f>[1]FPG!Q134+'[1]C.E.'!Q134+[1]SAP!Q134</f>
        <v>0</v>
      </c>
      <c r="R134" s="27"/>
      <c r="S134" s="35">
        <f t="shared" si="14"/>
        <v>0</v>
      </c>
      <c r="T134" s="36">
        <f t="shared" si="17"/>
        <v>0</v>
      </c>
      <c r="V134" s="21">
        <f>S134-[1]FPG!S134-'[1]C.E.'!S134</f>
        <v>0</v>
      </c>
      <c r="W134" s="22"/>
    </row>
    <row r="135" spans="1:23" hidden="1" outlineLevel="1" x14ac:dyDescent="0.2">
      <c r="A135" s="9"/>
      <c r="B135" s="48"/>
      <c r="C135" s="31">
        <v>400086</v>
      </c>
      <c r="D135" s="32" t="s">
        <v>123</v>
      </c>
      <c r="E135" s="33"/>
      <c r="F135" s="34">
        <f>[1]FPG!F135+'[1]C.E.'!F135+[1]SAP!F135</f>
        <v>0</v>
      </c>
      <c r="G135" s="34">
        <f>[1]FPG!G135+'[1]C.E.'!G135+[1]SAP!G135</f>
        <v>0</v>
      </c>
      <c r="H135" s="34">
        <f>[1]FPG!H135+'[1]C.E.'!H135+[1]SAP!H135</f>
        <v>0</v>
      </c>
      <c r="I135" s="34">
        <f>[1]FPG!I135+'[1]C.E.'!I135+[1]SAP!I135</f>
        <v>0</v>
      </c>
      <c r="J135" s="34">
        <f>[1]FPG!J135+'[1]C.E.'!J135+[1]SAP!J135</f>
        <v>0</v>
      </c>
      <c r="K135" s="34">
        <f>[1]FPG!K135+'[1]C.E.'!K135+[1]SAP!K135</f>
        <v>0</v>
      </c>
      <c r="L135" s="34">
        <f>[1]FPG!L135+'[1]C.E.'!L135+[1]SAP!L135</f>
        <v>0</v>
      </c>
      <c r="M135" s="34">
        <f>[1]FPG!M135+'[1]C.E.'!M135+[1]SAP!M135</f>
        <v>0</v>
      </c>
      <c r="N135" s="34">
        <f>[1]FPG!N135+'[1]C.E.'!N135+[1]SAP!N135</f>
        <v>0</v>
      </c>
      <c r="O135" s="34">
        <f>[1]FPG!O135+'[1]C.E.'!O135+[1]SAP!O135</f>
        <v>0</v>
      </c>
      <c r="P135" s="34">
        <f>[1]FPG!P135+'[1]C.E.'!P135+[1]SAP!P135</f>
        <v>0</v>
      </c>
      <c r="Q135" s="34">
        <f>[1]FPG!Q135+'[1]C.E.'!Q135+[1]SAP!Q135</f>
        <v>0</v>
      </c>
      <c r="R135" s="27"/>
      <c r="S135" s="35">
        <f t="shared" si="14"/>
        <v>0</v>
      </c>
      <c r="T135" s="36">
        <f t="shared" si="17"/>
        <v>0</v>
      </c>
      <c r="V135" s="21">
        <f>S135-[1]FPG!S135-'[1]C.E.'!S135</f>
        <v>0</v>
      </c>
      <c r="W135" s="22"/>
    </row>
    <row r="136" spans="1:23" hidden="1" outlineLevel="1" x14ac:dyDescent="0.2">
      <c r="A136" s="9"/>
      <c r="B136" s="48"/>
      <c r="C136" s="31">
        <v>400087</v>
      </c>
      <c r="D136" s="32" t="s">
        <v>124</v>
      </c>
      <c r="E136" s="33"/>
      <c r="F136" s="34">
        <f>[1]FPG!F136+'[1]C.E.'!F136+[1]SAP!F136</f>
        <v>0</v>
      </c>
      <c r="G136" s="34">
        <f>[1]FPG!G136+'[1]C.E.'!G136+[1]SAP!G136</f>
        <v>0</v>
      </c>
      <c r="H136" s="34">
        <f>[1]FPG!H136+'[1]C.E.'!H136+[1]SAP!H136</f>
        <v>0</v>
      </c>
      <c r="I136" s="34">
        <f>[1]FPG!I136+'[1]C.E.'!I136+[1]SAP!I136</f>
        <v>0</v>
      </c>
      <c r="J136" s="34">
        <f>[1]FPG!J136+'[1]C.E.'!J136+[1]SAP!J136</f>
        <v>0</v>
      </c>
      <c r="K136" s="34">
        <f>[1]FPG!K136+'[1]C.E.'!K136+[1]SAP!K136</f>
        <v>0</v>
      </c>
      <c r="L136" s="34">
        <f>[1]FPG!L136+'[1]C.E.'!L136+[1]SAP!L136</f>
        <v>0</v>
      </c>
      <c r="M136" s="34">
        <f>[1]FPG!M136+'[1]C.E.'!M136+[1]SAP!M136</f>
        <v>0</v>
      </c>
      <c r="N136" s="34">
        <f>[1]FPG!N136+'[1]C.E.'!N136+[1]SAP!N136</f>
        <v>0</v>
      </c>
      <c r="O136" s="34">
        <f>[1]FPG!O136+'[1]C.E.'!O136+[1]SAP!O136</f>
        <v>0</v>
      </c>
      <c r="P136" s="34">
        <f>[1]FPG!P136+'[1]C.E.'!P136+[1]SAP!P136</f>
        <v>0</v>
      </c>
      <c r="Q136" s="34">
        <f>[1]FPG!Q136+'[1]C.E.'!Q136+[1]SAP!Q136</f>
        <v>0</v>
      </c>
      <c r="R136" s="27"/>
      <c r="S136" s="35">
        <f t="shared" si="14"/>
        <v>0</v>
      </c>
      <c r="T136" s="36">
        <f t="shared" si="17"/>
        <v>0</v>
      </c>
      <c r="V136" s="21">
        <f>S136-[1]FPG!S136-'[1]C.E.'!S136</f>
        <v>0</v>
      </c>
      <c r="W136" s="22"/>
    </row>
    <row r="137" spans="1:23" hidden="1" outlineLevel="1" x14ac:dyDescent="0.2">
      <c r="A137" s="9"/>
      <c r="B137" s="48"/>
      <c r="C137" s="31">
        <v>400088</v>
      </c>
      <c r="D137" s="32" t="s">
        <v>125</v>
      </c>
      <c r="E137" s="33"/>
      <c r="F137" s="34">
        <f>[1]FPG!F137+'[1]C.E.'!F137+[1]SAP!F137</f>
        <v>0</v>
      </c>
      <c r="G137" s="34">
        <f>[1]FPG!G137+'[1]C.E.'!G137+[1]SAP!G137</f>
        <v>0</v>
      </c>
      <c r="H137" s="34">
        <f>[1]FPG!H137+'[1]C.E.'!H137+[1]SAP!H137</f>
        <v>0</v>
      </c>
      <c r="I137" s="34">
        <f>[1]FPG!I137+'[1]C.E.'!I137+[1]SAP!I137</f>
        <v>0</v>
      </c>
      <c r="J137" s="34">
        <f>[1]FPG!J137+'[1]C.E.'!J137+[1]SAP!J137</f>
        <v>0</v>
      </c>
      <c r="K137" s="34">
        <f>[1]FPG!K137+'[1]C.E.'!K137+[1]SAP!K137</f>
        <v>0</v>
      </c>
      <c r="L137" s="34">
        <f>[1]FPG!L137+'[1]C.E.'!L137+[1]SAP!L137</f>
        <v>0</v>
      </c>
      <c r="M137" s="34">
        <f>[1]FPG!M137+'[1]C.E.'!M137+[1]SAP!M137</f>
        <v>0</v>
      </c>
      <c r="N137" s="34">
        <f>[1]FPG!N137+'[1]C.E.'!N137+[1]SAP!N137</f>
        <v>0</v>
      </c>
      <c r="O137" s="34">
        <f>[1]FPG!O137+'[1]C.E.'!O137+[1]SAP!O137</f>
        <v>0</v>
      </c>
      <c r="P137" s="34">
        <f>[1]FPG!P137+'[1]C.E.'!P137+[1]SAP!P137</f>
        <v>0</v>
      </c>
      <c r="Q137" s="34">
        <f>[1]FPG!Q137+'[1]C.E.'!Q137+[1]SAP!Q137</f>
        <v>0</v>
      </c>
      <c r="R137" s="27"/>
      <c r="S137" s="35">
        <f t="shared" si="14"/>
        <v>0</v>
      </c>
      <c r="T137" s="36">
        <f t="shared" si="17"/>
        <v>0</v>
      </c>
      <c r="V137" s="21">
        <f>S137-[1]FPG!S137-'[1]C.E.'!S137</f>
        <v>0</v>
      </c>
      <c r="W137" s="22"/>
    </row>
    <row r="138" spans="1:23" hidden="1" outlineLevel="1" x14ac:dyDescent="0.2">
      <c r="A138" s="9"/>
      <c r="B138" s="48"/>
      <c r="C138" s="31">
        <v>400089</v>
      </c>
      <c r="D138" s="32" t="s">
        <v>126</v>
      </c>
      <c r="E138" s="33"/>
      <c r="F138" s="34">
        <f>[1]FPG!F138+'[1]C.E.'!F138+[1]SAP!F138</f>
        <v>0</v>
      </c>
      <c r="G138" s="34">
        <f>[1]FPG!G138+'[1]C.E.'!G138+[1]SAP!G138</f>
        <v>0</v>
      </c>
      <c r="H138" s="34">
        <f>[1]FPG!H138+'[1]C.E.'!H138+[1]SAP!H138</f>
        <v>0</v>
      </c>
      <c r="I138" s="34">
        <f>[1]FPG!I138+'[1]C.E.'!I138+[1]SAP!I138</f>
        <v>0</v>
      </c>
      <c r="J138" s="34">
        <f>[1]FPG!J138+'[1]C.E.'!J138+[1]SAP!J138</f>
        <v>0</v>
      </c>
      <c r="K138" s="34">
        <f>[1]FPG!K138+'[1]C.E.'!K138+[1]SAP!K138</f>
        <v>0</v>
      </c>
      <c r="L138" s="34">
        <f>[1]FPG!L138+'[1]C.E.'!L138+[1]SAP!L138</f>
        <v>0</v>
      </c>
      <c r="M138" s="34">
        <f>[1]FPG!M138+'[1]C.E.'!M138+[1]SAP!M138</f>
        <v>0</v>
      </c>
      <c r="N138" s="34">
        <f>[1]FPG!N138+'[1]C.E.'!N138+[1]SAP!N138</f>
        <v>0</v>
      </c>
      <c r="O138" s="34">
        <f>[1]FPG!O138+'[1]C.E.'!O138+[1]SAP!O138</f>
        <v>0</v>
      </c>
      <c r="P138" s="34">
        <f>[1]FPG!P138+'[1]C.E.'!P138+[1]SAP!P138</f>
        <v>0</v>
      </c>
      <c r="Q138" s="34">
        <f>[1]FPG!Q138+'[1]C.E.'!Q138+[1]SAP!Q138</f>
        <v>0</v>
      </c>
      <c r="R138" s="27"/>
      <c r="S138" s="35">
        <f t="shared" si="14"/>
        <v>0</v>
      </c>
      <c r="T138" s="36">
        <f t="shared" si="17"/>
        <v>0</v>
      </c>
      <c r="V138" s="21">
        <f>S138-[1]FPG!S138-'[1]C.E.'!S138</f>
        <v>0</v>
      </c>
      <c r="W138" s="22"/>
    </row>
    <row r="139" spans="1:23" hidden="1" outlineLevel="1" x14ac:dyDescent="0.2">
      <c r="A139" s="9"/>
      <c r="B139" s="48"/>
      <c r="C139" s="31">
        <v>400090</v>
      </c>
      <c r="D139" s="32" t="s">
        <v>127</v>
      </c>
      <c r="E139" s="33"/>
      <c r="F139" s="34">
        <f>[1]FPG!F139+'[1]C.E.'!F139+[1]SAP!F139</f>
        <v>0</v>
      </c>
      <c r="G139" s="34">
        <f>[1]FPG!G139+'[1]C.E.'!G139+[1]SAP!G139</f>
        <v>0</v>
      </c>
      <c r="H139" s="34">
        <f>[1]FPG!H139+'[1]C.E.'!H139+[1]SAP!H139</f>
        <v>0</v>
      </c>
      <c r="I139" s="34">
        <f>[1]FPG!I139+'[1]C.E.'!I139+[1]SAP!I139</f>
        <v>0</v>
      </c>
      <c r="J139" s="34">
        <f>[1]FPG!J139+'[1]C.E.'!J139+[1]SAP!J139</f>
        <v>0</v>
      </c>
      <c r="K139" s="34">
        <f>[1]FPG!K139+'[1]C.E.'!K139+[1]SAP!K139</f>
        <v>0</v>
      </c>
      <c r="L139" s="34">
        <f>[1]FPG!L139+'[1]C.E.'!L139+[1]SAP!L139</f>
        <v>0</v>
      </c>
      <c r="M139" s="34">
        <f>[1]FPG!M139+'[1]C.E.'!M139+[1]SAP!M139</f>
        <v>0</v>
      </c>
      <c r="N139" s="34">
        <f>[1]FPG!N139+'[1]C.E.'!N139+[1]SAP!N139</f>
        <v>0</v>
      </c>
      <c r="O139" s="34">
        <f>[1]FPG!O139+'[1]C.E.'!O139+[1]SAP!O139</f>
        <v>0</v>
      </c>
      <c r="P139" s="34">
        <f>[1]FPG!P139+'[1]C.E.'!P139+[1]SAP!P139</f>
        <v>0</v>
      </c>
      <c r="Q139" s="34">
        <f>[1]FPG!Q139+'[1]C.E.'!Q139+[1]SAP!Q139</f>
        <v>0</v>
      </c>
      <c r="R139" s="27"/>
      <c r="S139" s="35">
        <f t="shared" si="14"/>
        <v>0</v>
      </c>
      <c r="T139" s="36">
        <f t="shared" si="17"/>
        <v>0</v>
      </c>
      <c r="V139" s="21">
        <f>S139-[1]FPG!S139-'[1]C.E.'!S139</f>
        <v>0</v>
      </c>
      <c r="W139" s="22"/>
    </row>
    <row r="140" spans="1:23" hidden="1" outlineLevel="1" x14ac:dyDescent="0.2">
      <c r="A140" s="9"/>
      <c r="B140" s="48"/>
      <c r="C140" s="31">
        <v>400091</v>
      </c>
      <c r="D140" s="32" t="s">
        <v>128</v>
      </c>
      <c r="E140" s="33"/>
      <c r="F140" s="34">
        <f>[1]FPG!F140+'[1]C.E.'!F140+[1]SAP!F140</f>
        <v>0</v>
      </c>
      <c r="G140" s="34">
        <f>[1]FPG!G140+'[1]C.E.'!G140+[1]SAP!G140</f>
        <v>0</v>
      </c>
      <c r="H140" s="34">
        <f>[1]FPG!H140+'[1]C.E.'!H140+[1]SAP!H140</f>
        <v>0</v>
      </c>
      <c r="I140" s="34">
        <f>[1]FPG!I140+'[1]C.E.'!I140+[1]SAP!I140</f>
        <v>0</v>
      </c>
      <c r="J140" s="34">
        <f>[1]FPG!J140+'[1]C.E.'!J140+[1]SAP!J140</f>
        <v>0</v>
      </c>
      <c r="K140" s="34">
        <f>[1]FPG!K140+'[1]C.E.'!K140+[1]SAP!K140</f>
        <v>0</v>
      </c>
      <c r="L140" s="34">
        <f>[1]FPG!L140+'[1]C.E.'!L140+[1]SAP!L140</f>
        <v>0</v>
      </c>
      <c r="M140" s="34">
        <f>[1]FPG!M140+'[1]C.E.'!M140+[1]SAP!M140</f>
        <v>0</v>
      </c>
      <c r="N140" s="34">
        <f>[1]FPG!N140+'[1]C.E.'!N140+[1]SAP!N140</f>
        <v>0</v>
      </c>
      <c r="O140" s="34">
        <f>[1]FPG!O140+'[1]C.E.'!O140+[1]SAP!O140</f>
        <v>0</v>
      </c>
      <c r="P140" s="34">
        <f>[1]FPG!P140+'[1]C.E.'!P140+[1]SAP!P140</f>
        <v>0</v>
      </c>
      <c r="Q140" s="34">
        <f>[1]FPG!Q140+'[1]C.E.'!Q140+[1]SAP!Q140</f>
        <v>0</v>
      </c>
      <c r="R140" s="27"/>
      <c r="S140" s="35">
        <f t="shared" si="14"/>
        <v>0</v>
      </c>
      <c r="T140" s="36">
        <f t="shared" si="17"/>
        <v>0</v>
      </c>
      <c r="V140" s="21">
        <f>S140-[1]FPG!S140-'[1]C.E.'!S140</f>
        <v>0</v>
      </c>
      <c r="W140" s="22"/>
    </row>
    <row r="141" spans="1:23" hidden="1" outlineLevel="1" x14ac:dyDescent="0.2">
      <c r="A141" s="9"/>
      <c r="B141" s="48"/>
      <c r="C141" s="31">
        <v>400092</v>
      </c>
      <c r="D141" s="32" t="s">
        <v>129</v>
      </c>
      <c r="E141" s="33"/>
      <c r="F141" s="34">
        <f>[1]FPG!F141+'[1]C.E.'!F141+[1]SAP!F141</f>
        <v>0</v>
      </c>
      <c r="G141" s="34">
        <f>[1]FPG!G141+'[1]C.E.'!G141+[1]SAP!G141</f>
        <v>0</v>
      </c>
      <c r="H141" s="34">
        <f>[1]FPG!H141+'[1]C.E.'!H141+[1]SAP!H141</f>
        <v>0</v>
      </c>
      <c r="I141" s="34">
        <f>[1]FPG!I141+'[1]C.E.'!I141+[1]SAP!I141</f>
        <v>0</v>
      </c>
      <c r="J141" s="34">
        <f>[1]FPG!J141+'[1]C.E.'!J141+[1]SAP!J141</f>
        <v>0</v>
      </c>
      <c r="K141" s="34">
        <f>[1]FPG!K141+'[1]C.E.'!K141+[1]SAP!K141</f>
        <v>0</v>
      </c>
      <c r="L141" s="34">
        <f>[1]FPG!L141+'[1]C.E.'!L141+[1]SAP!L141</f>
        <v>0</v>
      </c>
      <c r="M141" s="34">
        <f>[1]FPG!M141+'[1]C.E.'!M141+[1]SAP!M141</f>
        <v>0</v>
      </c>
      <c r="N141" s="34">
        <f>[1]FPG!N141+'[1]C.E.'!N141+[1]SAP!N141</f>
        <v>0</v>
      </c>
      <c r="O141" s="34">
        <f>[1]FPG!O141+'[1]C.E.'!O141+[1]SAP!O141</f>
        <v>0</v>
      </c>
      <c r="P141" s="34">
        <f>[1]FPG!P141+'[1]C.E.'!P141+[1]SAP!P141</f>
        <v>0</v>
      </c>
      <c r="Q141" s="34">
        <f>[1]FPG!Q141+'[1]C.E.'!Q141+[1]SAP!Q141</f>
        <v>0</v>
      </c>
      <c r="R141" s="27"/>
      <c r="S141" s="35">
        <f t="shared" si="14"/>
        <v>0</v>
      </c>
      <c r="T141" s="36">
        <f t="shared" si="17"/>
        <v>0</v>
      </c>
      <c r="V141" s="21">
        <f>S141-[1]FPG!S141-'[1]C.E.'!S141</f>
        <v>0</v>
      </c>
      <c r="W141" s="22"/>
    </row>
    <row r="142" spans="1:23" hidden="1" outlineLevel="1" x14ac:dyDescent="0.2">
      <c r="A142" s="9"/>
      <c r="B142" s="48"/>
      <c r="C142" s="31">
        <v>400093</v>
      </c>
      <c r="D142" s="32" t="s">
        <v>130</v>
      </c>
      <c r="E142" s="33"/>
      <c r="F142" s="34">
        <f>[1]FPG!F142+'[1]C.E.'!F142+[1]SAP!F142</f>
        <v>0</v>
      </c>
      <c r="G142" s="34">
        <f>[1]FPG!G142+'[1]C.E.'!G142+[1]SAP!G142</f>
        <v>0</v>
      </c>
      <c r="H142" s="34">
        <f>[1]FPG!H142+'[1]C.E.'!H142+[1]SAP!H142</f>
        <v>0</v>
      </c>
      <c r="I142" s="34">
        <f>[1]FPG!I142+'[1]C.E.'!I142+[1]SAP!I142</f>
        <v>0</v>
      </c>
      <c r="J142" s="34">
        <f>[1]FPG!J142+'[1]C.E.'!J142+[1]SAP!J142</f>
        <v>0</v>
      </c>
      <c r="K142" s="34">
        <f>[1]FPG!K142+'[1]C.E.'!K142+[1]SAP!K142</f>
        <v>0</v>
      </c>
      <c r="L142" s="34">
        <f>[1]FPG!L142+'[1]C.E.'!L142+[1]SAP!L142</f>
        <v>0</v>
      </c>
      <c r="M142" s="34">
        <f>[1]FPG!M142+'[1]C.E.'!M142+[1]SAP!M142</f>
        <v>0</v>
      </c>
      <c r="N142" s="34">
        <f>[1]FPG!N142+'[1]C.E.'!N142+[1]SAP!N142</f>
        <v>0</v>
      </c>
      <c r="O142" s="34">
        <f>[1]FPG!O142+'[1]C.E.'!O142+[1]SAP!O142</f>
        <v>0</v>
      </c>
      <c r="P142" s="34">
        <f>[1]FPG!P142+'[1]C.E.'!P142+[1]SAP!P142</f>
        <v>0</v>
      </c>
      <c r="Q142" s="34">
        <f>[1]FPG!Q142+'[1]C.E.'!Q142+[1]SAP!Q142</f>
        <v>0</v>
      </c>
      <c r="R142" s="27"/>
      <c r="S142" s="35">
        <f t="shared" si="14"/>
        <v>0</v>
      </c>
      <c r="T142" s="36">
        <f t="shared" si="17"/>
        <v>0</v>
      </c>
      <c r="V142" s="21">
        <f>S142-[1]FPG!S142-'[1]C.E.'!S142</f>
        <v>0</v>
      </c>
      <c r="W142" s="22"/>
    </row>
    <row r="143" spans="1:23" ht="20.399999999999999" outlineLevel="1" x14ac:dyDescent="0.2">
      <c r="A143" s="9"/>
      <c r="B143" s="48"/>
      <c r="C143" s="31">
        <v>400094</v>
      </c>
      <c r="D143" s="62" t="s">
        <v>131</v>
      </c>
      <c r="E143" s="33"/>
      <c r="F143" s="34">
        <f>[1]FPG!F143+'[1]C.E.'!F143+[1]SAP!F143</f>
        <v>45000</v>
      </c>
      <c r="G143" s="34">
        <f>[1]FPG!G143+'[1]C.E.'!G143+[1]SAP!G143</f>
        <v>15000</v>
      </c>
      <c r="H143" s="34">
        <f>[1]FPG!H143+'[1]C.E.'!H143+[1]SAP!H143</f>
        <v>95000</v>
      </c>
      <c r="I143" s="34">
        <f>[1]FPG!I143+'[1]C.E.'!I143+[1]SAP!I143</f>
        <v>35000</v>
      </c>
      <c r="J143" s="34">
        <f>[1]FPG!J143+'[1]C.E.'!J143+[1]SAP!J143</f>
        <v>15000</v>
      </c>
      <c r="K143" s="34">
        <f>[1]FPG!K143+'[1]C.E.'!K143+[1]SAP!K143</f>
        <v>55000</v>
      </c>
      <c r="L143" s="34">
        <f>[1]FPG!L143+'[1]C.E.'!L143+[1]SAP!L143</f>
        <v>77500</v>
      </c>
      <c r="M143" s="34">
        <f>[1]FPG!M143+'[1]C.E.'!M143+[1]SAP!M143</f>
        <v>147500</v>
      </c>
      <c r="N143" s="34">
        <f>[1]FPG!N143+'[1]C.E.'!N143+[1]SAP!N143</f>
        <v>147500</v>
      </c>
      <c r="O143" s="34">
        <f>[1]FPG!O143+'[1]C.E.'!O143+[1]SAP!O143</f>
        <v>72500</v>
      </c>
      <c r="P143" s="34">
        <f>[1]FPG!P143+'[1]C.E.'!P143+[1]SAP!P143</f>
        <v>15000</v>
      </c>
      <c r="Q143" s="34">
        <f>[1]FPG!Q143+'[1]C.E.'!Q143+[1]SAP!Q143</f>
        <v>0</v>
      </c>
      <c r="R143" s="27"/>
      <c r="S143" s="35">
        <f t="shared" si="14"/>
        <v>720000</v>
      </c>
      <c r="T143" s="36">
        <f t="shared" si="17"/>
        <v>6.151672944852199E-2</v>
      </c>
      <c r="V143" s="21">
        <f>S143-[1]FPG!S143-'[1]C.E.'!S143</f>
        <v>0</v>
      </c>
      <c r="W143" s="22"/>
    </row>
    <row r="144" spans="1:23" ht="20.399999999999999" outlineLevel="1" x14ac:dyDescent="0.2">
      <c r="A144" s="9"/>
      <c r="B144" s="48"/>
      <c r="C144" s="31">
        <v>400344</v>
      </c>
      <c r="D144" s="62" t="s">
        <v>132</v>
      </c>
      <c r="E144" s="33"/>
      <c r="F144" s="34">
        <f>[1]FPG!F144+'[1]C.E.'!F144+[1]SAP!F144</f>
        <v>0</v>
      </c>
      <c r="G144" s="34">
        <f>[1]FPG!G144+'[1]C.E.'!G144+[1]SAP!G144</f>
        <v>0</v>
      </c>
      <c r="H144" s="34">
        <f>[1]FPG!H144+'[1]C.E.'!H144+[1]SAP!H144</f>
        <v>12500</v>
      </c>
      <c r="I144" s="34">
        <f>[1]FPG!I144+'[1]C.E.'!I144+[1]SAP!I144</f>
        <v>10000</v>
      </c>
      <c r="J144" s="34">
        <f>[1]FPG!J144+'[1]C.E.'!J144+[1]SAP!J144</f>
        <v>10000</v>
      </c>
      <c r="K144" s="34">
        <f>[1]FPG!K144+'[1]C.E.'!K144+[1]SAP!K144</f>
        <v>0</v>
      </c>
      <c r="L144" s="34">
        <f>[1]FPG!L144+'[1]C.E.'!L144+[1]SAP!L144</f>
        <v>0</v>
      </c>
      <c r="M144" s="34">
        <f>[1]FPG!M144+'[1]C.E.'!M144+[1]SAP!M144</f>
        <v>12500</v>
      </c>
      <c r="N144" s="34">
        <f>[1]FPG!N144+'[1]C.E.'!N144+[1]SAP!N144</f>
        <v>0</v>
      </c>
      <c r="O144" s="34">
        <f>[1]FPG!O144+'[1]C.E.'!O144+[1]SAP!O144</f>
        <v>0</v>
      </c>
      <c r="P144" s="34">
        <f>[1]FPG!P144+'[1]C.E.'!P144+[1]SAP!P144</f>
        <v>0</v>
      </c>
      <c r="Q144" s="34">
        <f>[1]FPG!Q144+'[1]C.E.'!Q144+[1]SAP!Q144</f>
        <v>0</v>
      </c>
      <c r="R144" s="27"/>
      <c r="S144" s="35">
        <f t="shared" si="14"/>
        <v>45000</v>
      </c>
      <c r="T144" s="36">
        <f t="shared" si="17"/>
        <v>3.8447955905326243E-3</v>
      </c>
      <c r="V144" s="21">
        <f>S144-[1]FPG!S144-'[1]C.E.'!S144</f>
        <v>0</v>
      </c>
      <c r="W144" s="22"/>
    </row>
    <row r="145" spans="1:23" ht="20.399999999999999" hidden="1" outlineLevel="1" x14ac:dyDescent="0.2">
      <c r="A145" s="9"/>
      <c r="B145" s="48"/>
      <c r="C145" s="31">
        <v>400345</v>
      </c>
      <c r="D145" s="63" t="s">
        <v>133</v>
      </c>
      <c r="E145" s="33"/>
      <c r="F145" s="34">
        <f>[1]FPG!F145+'[1]C.E.'!F145+[1]SAP!F145</f>
        <v>0</v>
      </c>
      <c r="G145" s="34">
        <f>[1]FPG!G145+'[1]C.E.'!G145+[1]SAP!G145</f>
        <v>0</v>
      </c>
      <c r="H145" s="34">
        <f>[1]FPG!H145+'[1]C.E.'!H145+[1]SAP!H145</f>
        <v>0</v>
      </c>
      <c r="I145" s="34">
        <f>[1]FPG!I145+'[1]C.E.'!I145+[1]SAP!I145</f>
        <v>0</v>
      </c>
      <c r="J145" s="34">
        <f>[1]FPG!J145+'[1]C.E.'!J145+[1]SAP!J145</f>
        <v>0</v>
      </c>
      <c r="K145" s="34">
        <f>[1]FPG!K145+'[1]C.E.'!K145+[1]SAP!K145</f>
        <v>0</v>
      </c>
      <c r="L145" s="34">
        <f>[1]FPG!L145+'[1]C.E.'!L145+[1]SAP!L145</f>
        <v>0</v>
      </c>
      <c r="M145" s="34">
        <f>[1]FPG!M145+'[1]C.E.'!M145+[1]SAP!M145</f>
        <v>0</v>
      </c>
      <c r="N145" s="34">
        <f>[1]FPG!N145+'[1]C.E.'!N145+[1]SAP!N145</f>
        <v>0</v>
      </c>
      <c r="O145" s="34">
        <f>[1]FPG!O145+'[1]C.E.'!O145+[1]SAP!O145</f>
        <v>0</v>
      </c>
      <c r="P145" s="34">
        <f>[1]FPG!P145+'[1]C.E.'!P145+[1]SAP!P145</f>
        <v>0</v>
      </c>
      <c r="Q145" s="34">
        <f>[1]FPG!Q145+'[1]C.E.'!Q145+[1]SAP!Q145</f>
        <v>0</v>
      </c>
      <c r="R145" s="27"/>
      <c r="S145" s="35">
        <f t="shared" si="14"/>
        <v>0</v>
      </c>
      <c r="T145" s="36">
        <f t="shared" si="17"/>
        <v>0</v>
      </c>
      <c r="V145" s="21">
        <f>S145-[1]FPG!S145-'[1]C.E.'!S145</f>
        <v>0</v>
      </c>
      <c r="W145" s="22"/>
    </row>
    <row r="146" spans="1:23" x14ac:dyDescent="0.2">
      <c r="A146" s="9"/>
      <c r="B146" s="64" t="s">
        <v>134</v>
      </c>
      <c r="C146" s="64" t="s">
        <v>135</v>
      </c>
      <c r="D146" s="65"/>
      <c r="E146" s="66" t="s">
        <v>102</v>
      </c>
      <c r="F146" s="67">
        <f>SUM(F147:F148)</f>
        <v>0</v>
      </c>
      <c r="G146" s="67">
        <f t="shared" ref="G146:Q146" si="18">SUM(G147:G148)</f>
        <v>16227.272727272728</v>
      </c>
      <c r="H146" s="67">
        <f t="shared" si="18"/>
        <v>16227.272727272728</v>
      </c>
      <c r="I146" s="67">
        <f t="shared" si="18"/>
        <v>16227.272727272728</v>
      </c>
      <c r="J146" s="67">
        <f t="shared" si="18"/>
        <v>16227.272727272728</v>
      </c>
      <c r="K146" s="67">
        <f t="shared" si="18"/>
        <v>16227.272727272728</v>
      </c>
      <c r="L146" s="67">
        <f t="shared" si="18"/>
        <v>16227.272727272728</v>
      </c>
      <c r="M146" s="67">
        <f t="shared" si="18"/>
        <v>16227.272727272728</v>
      </c>
      <c r="N146" s="67">
        <f t="shared" si="18"/>
        <v>16227.272727272728</v>
      </c>
      <c r="O146" s="67">
        <f t="shared" si="18"/>
        <v>16227.272727272728</v>
      </c>
      <c r="P146" s="67">
        <f t="shared" si="18"/>
        <v>16227.272727272728</v>
      </c>
      <c r="Q146" s="67">
        <f t="shared" si="18"/>
        <v>7727.272727272727</v>
      </c>
      <c r="R146" s="68"/>
      <c r="S146" s="69">
        <f t="shared" si="14"/>
        <v>170000.00000000006</v>
      </c>
      <c r="T146" s="29">
        <f>S146/$S$43</f>
        <v>1.4524783342012142E-2</v>
      </c>
      <c r="V146" s="21">
        <f>S146-[1]FPG!S146-'[1]C.E.'!S146</f>
        <v>0</v>
      </c>
      <c r="W146" s="22"/>
    </row>
    <row r="147" spans="1:23" outlineLevel="1" x14ac:dyDescent="0.2">
      <c r="A147" s="9"/>
      <c r="B147" s="48"/>
      <c r="C147" s="31">
        <v>400096</v>
      </c>
      <c r="D147" s="32" t="s">
        <v>136</v>
      </c>
      <c r="E147" s="33"/>
      <c r="F147" s="34">
        <f>[1]FPG!F147+'[1]C.E.'!F147+[1]SAP!F147</f>
        <v>0</v>
      </c>
      <c r="G147" s="34">
        <f>[1]FPG!G147+'[1]C.E.'!G147+[1]SAP!G147</f>
        <v>8500</v>
      </c>
      <c r="H147" s="34">
        <f>[1]FPG!H147+'[1]C.E.'!H147+[1]SAP!H147</f>
        <v>8500</v>
      </c>
      <c r="I147" s="34">
        <f>[1]FPG!I147+'[1]C.E.'!I147+[1]SAP!I147</f>
        <v>8500</v>
      </c>
      <c r="J147" s="34">
        <f>[1]FPG!J147+'[1]C.E.'!J147+[1]SAP!J147</f>
        <v>8500</v>
      </c>
      <c r="K147" s="34">
        <f>[1]FPG!K147+'[1]C.E.'!K147+[1]SAP!K147</f>
        <v>8500</v>
      </c>
      <c r="L147" s="34">
        <f>[1]FPG!L147+'[1]C.E.'!L147+[1]SAP!L147</f>
        <v>8500</v>
      </c>
      <c r="M147" s="34">
        <f>[1]FPG!M147+'[1]C.E.'!M147+[1]SAP!M147</f>
        <v>8500</v>
      </c>
      <c r="N147" s="34">
        <f>[1]FPG!N147+'[1]C.E.'!N147+[1]SAP!N147</f>
        <v>8500</v>
      </c>
      <c r="O147" s="34">
        <f>[1]FPG!O147+'[1]C.E.'!O147+[1]SAP!O147</f>
        <v>8500</v>
      </c>
      <c r="P147" s="34">
        <f>[1]FPG!P147+'[1]C.E.'!P147+[1]SAP!P147</f>
        <v>8500</v>
      </c>
      <c r="Q147" s="34">
        <f>[1]FPG!Q147+'[1]C.E.'!Q147+[1]SAP!Q147</f>
        <v>0</v>
      </c>
      <c r="R147" s="27"/>
      <c r="S147" s="35">
        <f t="shared" si="14"/>
        <v>85000</v>
      </c>
      <c r="T147" s="36">
        <f>S147/$S$43</f>
        <v>7.2623916710060684E-3</v>
      </c>
      <c r="V147" s="21">
        <f>S147-[1]FPG!S147-'[1]C.E.'!S147</f>
        <v>0</v>
      </c>
      <c r="W147" s="22"/>
    </row>
    <row r="148" spans="1:23" outlineLevel="1" x14ac:dyDescent="0.2">
      <c r="A148" s="9"/>
      <c r="B148" s="48"/>
      <c r="C148" s="31">
        <v>400097</v>
      </c>
      <c r="D148" s="32" t="s">
        <v>137</v>
      </c>
      <c r="E148" s="33"/>
      <c r="F148" s="34">
        <f>[1]FPG!F148+'[1]C.E.'!F148+[1]SAP!F148</f>
        <v>0</v>
      </c>
      <c r="G148" s="34">
        <f>[1]FPG!G148+'[1]C.E.'!G148+[1]SAP!G148</f>
        <v>7727.272727272727</v>
      </c>
      <c r="H148" s="34">
        <f>[1]FPG!H148+'[1]C.E.'!H148+[1]SAP!H148</f>
        <v>7727.272727272727</v>
      </c>
      <c r="I148" s="34">
        <f>[1]FPG!I148+'[1]C.E.'!I148+[1]SAP!I148</f>
        <v>7727.272727272727</v>
      </c>
      <c r="J148" s="34">
        <f>[1]FPG!J148+'[1]C.E.'!J148+[1]SAP!J148</f>
        <v>7727.272727272727</v>
      </c>
      <c r="K148" s="34">
        <f>[1]FPG!K148+'[1]C.E.'!K148+[1]SAP!K148</f>
        <v>7727.272727272727</v>
      </c>
      <c r="L148" s="34">
        <f>[1]FPG!L148+'[1]C.E.'!L148+[1]SAP!L148</f>
        <v>7727.272727272727</v>
      </c>
      <c r="M148" s="34">
        <f>[1]FPG!M148+'[1]C.E.'!M148+[1]SAP!M148</f>
        <v>7727.272727272727</v>
      </c>
      <c r="N148" s="34">
        <f>[1]FPG!N148+'[1]C.E.'!N148+[1]SAP!N148</f>
        <v>7727.272727272727</v>
      </c>
      <c r="O148" s="34">
        <f>[1]FPG!O148+'[1]C.E.'!O148+[1]SAP!O148</f>
        <v>7727.272727272727</v>
      </c>
      <c r="P148" s="34">
        <f>[1]FPG!P148+'[1]C.E.'!P148+[1]SAP!P148</f>
        <v>7727.272727272727</v>
      </c>
      <c r="Q148" s="34">
        <f>[1]FPG!Q148+'[1]C.E.'!Q148+[1]SAP!Q148</f>
        <v>7727.272727272727</v>
      </c>
      <c r="R148" s="27"/>
      <c r="S148" s="35">
        <f t="shared" si="14"/>
        <v>84999.999999999985</v>
      </c>
      <c r="T148" s="36">
        <f>S148/$S$43</f>
        <v>7.2623916710060667E-3</v>
      </c>
      <c r="V148" s="21">
        <f>S148-[1]FPG!S148-'[1]C.E.'!S148</f>
        <v>0</v>
      </c>
      <c r="W148" s="22"/>
    </row>
    <row r="149" spans="1:23" s="60" customFormat="1" x14ac:dyDescent="0.2">
      <c r="A149" s="53"/>
      <c r="B149" s="54" t="s">
        <v>138</v>
      </c>
      <c r="C149" s="54" t="s">
        <v>139</v>
      </c>
      <c r="D149" s="55"/>
      <c r="E149" s="56" t="s">
        <v>102</v>
      </c>
      <c r="F149" s="57">
        <f>SUM(F150:F174)</f>
        <v>25000</v>
      </c>
      <c r="G149" s="57">
        <f t="shared" ref="G149:Q149" si="19">SUM(G150:G174)</f>
        <v>25000</v>
      </c>
      <c r="H149" s="57">
        <f t="shared" si="19"/>
        <v>2500</v>
      </c>
      <c r="I149" s="57">
        <f t="shared" si="19"/>
        <v>2500</v>
      </c>
      <c r="J149" s="57">
        <f t="shared" si="19"/>
        <v>2500</v>
      </c>
      <c r="K149" s="57">
        <f t="shared" si="19"/>
        <v>2500</v>
      </c>
      <c r="L149" s="57">
        <f t="shared" si="19"/>
        <v>2500</v>
      </c>
      <c r="M149" s="57">
        <f t="shared" si="19"/>
        <v>2500</v>
      </c>
      <c r="N149" s="57">
        <f t="shared" si="19"/>
        <v>2500</v>
      </c>
      <c r="O149" s="57">
        <f t="shared" si="19"/>
        <v>2500</v>
      </c>
      <c r="P149" s="57">
        <f t="shared" si="19"/>
        <v>25000</v>
      </c>
      <c r="Q149" s="57">
        <f t="shared" si="19"/>
        <v>25000</v>
      </c>
      <c r="R149" s="58"/>
      <c r="S149" s="59">
        <f t="shared" si="14"/>
        <v>120000</v>
      </c>
      <c r="T149" s="29">
        <f>S149/$S$43</f>
        <v>1.0252788241420332E-2</v>
      </c>
      <c r="V149" s="21">
        <f>S149-[1]FPG!S149-'[1]C.E.'!S149</f>
        <v>0</v>
      </c>
      <c r="W149" s="22"/>
    </row>
    <row r="150" spans="1:23" outlineLevel="1" x14ac:dyDescent="0.2">
      <c r="A150" s="9"/>
      <c r="B150" s="48"/>
      <c r="C150" s="31">
        <v>400098</v>
      </c>
      <c r="D150" s="32" t="s">
        <v>140</v>
      </c>
      <c r="E150" s="33"/>
      <c r="F150" s="34">
        <f>[1]FPG!F150+'[1]C.E.'!F150+[1]SAP!F150</f>
        <v>25000</v>
      </c>
      <c r="G150" s="34">
        <f>[1]FPG!G150+'[1]C.E.'!G150+[1]SAP!G150</f>
        <v>25000</v>
      </c>
      <c r="H150" s="34">
        <f>[1]FPG!H150+'[1]C.E.'!H150+[1]SAP!H150</f>
        <v>2500</v>
      </c>
      <c r="I150" s="34">
        <f>[1]FPG!I150+'[1]C.E.'!I150+[1]SAP!I150</f>
        <v>2500</v>
      </c>
      <c r="J150" s="34">
        <f>[1]FPG!J150+'[1]C.E.'!J150+[1]SAP!J150</f>
        <v>2500</v>
      </c>
      <c r="K150" s="34">
        <f>[1]FPG!K150+'[1]C.E.'!K150+[1]SAP!K150</f>
        <v>2500</v>
      </c>
      <c r="L150" s="34">
        <f>[1]FPG!L150+'[1]C.E.'!L150+[1]SAP!L150</f>
        <v>2500</v>
      </c>
      <c r="M150" s="34">
        <f>[1]FPG!M150+'[1]C.E.'!M150+[1]SAP!M150</f>
        <v>2500</v>
      </c>
      <c r="N150" s="34">
        <f>[1]FPG!N150+'[1]C.E.'!N150+[1]SAP!N150</f>
        <v>2500</v>
      </c>
      <c r="O150" s="34">
        <f>[1]FPG!O150+'[1]C.E.'!O150+[1]SAP!O150</f>
        <v>2500</v>
      </c>
      <c r="P150" s="34">
        <f>[1]FPG!P150+'[1]C.E.'!P150+[1]SAP!P150</f>
        <v>25000</v>
      </c>
      <c r="Q150" s="34">
        <f>[1]FPG!Q150+'[1]C.E.'!Q150+[1]SAP!Q150</f>
        <v>25000</v>
      </c>
      <c r="R150" s="34">
        <f t="shared" ref="R150" si="20">R20</f>
        <v>0</v>
      </c>
      <c r="S150" s="35">
        <f t="shared" si="14"/>
        <v>120000</v>
      </c>
      <c r="T150" s="36">
        <f t="shared" ref="T150:T199" si="21">S150/$S$43</f>
        <v>1.0252788241420332E-2</v>
      </c>
      <c r="V150" s="21">
        <f>S150-[1]FPG!S150-'[1]C.E.'!S150</f>
        <v>0</v>
      </c>
      <c r="W150" s="22"/>
    </row>
    <row r="151" spans="1:23" hidden="1" outlineLevel="1" x14ac:dyDescent="0.2">
      <c r="A151" s="9"/>
      <c r="B151" s="48"/>
      <c r="C151" s="31">
        <v>400099</v>
      </c>
      <c r="D151" s="32" t="s">
        <v>141</v>
      </c>
      <c r="E151" s="33"/>
      <c r="F151" s="34">
        <f>[1]FPG!F151+'[1]C.E.'!F151+[1]SAP!F151</f>
        <v>0</v>
      </c>
      <c r="G151" s="34">
        <f>[1]FPG!G151+'[1]C.E.'!G151+[1]SAP!G151</f>
        <v>0</v>
      </c>
      <c r="H151" s="34">
        <f>[1]FPG!H151+'[1]C.E.'!H151+[1]SAP!H151</f>
        <v>0</v>
      </c>
      <c r="I151" s="34">
        <f>[1]FPG!I151+'[1]C.E.'!I151+[1]SAP!I151</f>
        <v>0</v>
      </c>
      <c r="J151" s="34">
        <f>[1]FPG!J151+'[1]C.E.'!J151+[1]SAP!J151</f>
        <v>0</v>
      </c>
      <c r="K151" s="34">
        <f>[1]FPG!K151+'[1]C.E.'!K151+[1]SAP!K151</f>
        <v>0</v>
      </c>
      <c r="L151" s="34">
        <f>[1]FPG!L151+'[1]C.E.'!L151+[1]SAP!L151</f>
        <v>0</v>
      </c>
      <c r="M151" s="34">
        <f>[1]FPG!M151+'[1]C.E.'!M151+[1]SAP!M151</f>
        <v>0</v>
      </c>
      <c r="N151" s="34">
        <f>[1]FPG!N151+'[1]C.E.'!N151+[1]SAP!N151</f>
        <v>0</v>
      </c>
      <c r="O151" s="34">
        <f>[1]FPG!O151+'[1]C.E.'!O151+[1]SAP!O151</f>
        <v>0</v>
      </c>
      <c r="P151" s="34">
        <f>[1]FPG!P151+'[1]C.E.'!P151+[1]SAP!P151</f>
        <v>0</v>
      </c>
      <c r="Q151" s="34">
        <f>[1]FPG!Q151+'[1]C.E.'!Q151+[1]SAP!Q151</f>
        <v>0</v>
      </c>
      <c r="R151" s="27"/>
      <c r="S151" s="35">
        <f t="shared" si="14"/>
        <v>0</v>
      </c>
      <c r="T151" s="36">
        <f t="shared" si="21"/>
        <v>0</v>
      </c>
      <c r="V151" s="21">
        <f>S151-[1]FPG!S151-'[1]C.E.'!S151</f>
        <v>0</v>
      </c>
      <c r="W151" s="22"/>
    </row>
    <row r="152" spans="1:23" hidden="1" outlineLevel="1" x14ac:dyDescent="0.2">
      <c r="A152" s="9"/>
      <c r="B152" s="48"/>
      <c r="C152" s="31">
        <v>400100</v>
      </c>
      <c r="D152" s="32" t="s">
        <v>142</v>
      </c>
      <c r="E152" s="33"/>
      <c r="F152" s="34">
        <f>[1]FPG!F152+'[1]C.E.'!F152+[1]SAP!F152</f>
        <v>0</v>
      </c>
      <c r="G152" s="34">
        <f>[1]FPG!G152+'[1]C.E.'!G152+[1]SAP!G152</f>
        <v>0</v>
      </c>
      <c r="H152" s="34">
        <f>[1]FPG!H152+'[1]C.E.'!H152+[1]SAP!H152</f>
        <v>0</v>
      </c>
      <c r="I152" s="34">
        <f>[1]FPG!I152+'[1]C.E.'!I152+[1]SAP!I152</f>
        <v>0</v>
      </c>
      <c r="J152" s="34">
        <f>[1]FPG!J152+'[1]C.E.'!J152+[1]SAP!J152</f>
        <v>0</v>
      </c>
      <c r="K152" s="34">
        <f>[1]FPG!K152+'[1]C.E.'!K152+[1]SAP!K152</f>
        <v>0</v>
      </c>
      <c r="L152" s="34">
        <f>[1]FPG!L152+'[1]C.E.'!L152+[1]SAP!L152</f>
        <v>0</v>
      </c>
      <c r="M152" s="34">
        <f>[1]FPG!M152+'[1]C.E.'!M152+[1]SAP!M152</f>
        <v>0</v>
      </c>
      <c r="N152" s="34">
        <f>[1]FPG!N152+'[1]C.E.'!N152+[1]SAP!N152</f>
        <v>0</v>
      </c>
      <c r="O152" s="34">
        <f>[1]FPG!O152+'[1]C.E.'!O152+[1]SAP!O152</f>
        <v>0</v>
      </c>
      <c r="P152" s="34">
        <f>[1]FPG!P152+'[1]C.E.'!P152+[1]SAP!P152</f>
        <v>0</v>
      </c>
      <c r="Q152" s="34">
        <f>[1]FPG!Q152+'[1]C.E.'!Q152+[1]SAP!Q152</f>
        <v>0</v>
      </c>
      <c r="R152" s="27"/>
      <c r="S152" s="35">
        <f t="shared" si="14"/>
        <v>0</v>
      </c>
      <c r="T152" s="36">
        <f t="shared" si="21"/>
        <v>0</v>
      </c>
      <c r="V152" s="21">
        <f>S152-[1]FPG!S152-'[1]C.E.'!S152</f>
        <v>0</v>
      </c>
      <c r="W152" s="22"/>
    </row>
    <row r="153" spans="1:23" hidden="1" outlineLevel="1" x14ac:dyDescent="0.2">
      <c r="A153" s="9"/>
      <c r="B153" s="48"/>
      <c r="C153" s="31">
        <v>400101</v>
      </c>
      <c r="D153" s="32" t="s">
        <v>143</v>
      </c>
      <c r="E153" s="33"/>
      <c r="F153" s="34">
        <f>[1]FPG!F153+'[1]C.E.'!F153+[1]SAP!F153</f>
        <v>0</v>
      </c>
      <c r="G153" s="34">
        <f>[1]FPG!G153+'[1]C.E.'!G153+[1]SAP!G153</f>
        <v>0</v>
      </c>
      <c r="H153" s="34">
        <f>[1]FPG!H153+'[1]C.E.'!H153+[1]SAP!H153</f>
        <v>0</v>
      </c>
      <c r="I153" s="34">
        <f>[1]FPG!I153+'[1]C.E.'!I153+[1]SAP!I153</f>
        <v>0</v>
      </c>
      <c r="J153" s="34">
        <f>[1]FPG!J153+'[1]C.E.'!J153+[1]SAP!J153</f>
        <v>0</v>
      </c>
      <c r="K153" s="34">
        <f>[1]FPG!K153+'[1]C.E.'!K153+[1]SAP!K153</f>
        <v>0</v>
      </c>
      <c r="L153" s="34">
        <f>[1]FPG!L153+'[1]C.E.'!L153+[1]SAP!L153</f>
        <v>0</v>
      </c>
      <c r="M153" s="34">
        <f>[1]FPG!M153+'[1]C.E.'!M153+[1]SAP!M153</f>
        <v>0</v>
      </c>
      <c r="N153" s="34">
        <f>[1]FPG!N153+'[1]C.E.'!N153+[1]SAP!N153</f>
        <v>0</v>
      </c>
      <c r="O153" s="34">
        <f>[1]FPG!O153+'[1]C.E.'!O153+[1]SAP!O153</f>
        <v>0</v>
      </c>
      <c r="P153" s="34">
        <f>[1]FPG!P153+'[1]C.E.'!P153+[1]SAP!P153</f>
        <v>0</v>
      </c>
      <c r="Q153" s="34">
        <f>[1]FPG!Q153+'[1]C.E.'!Q153+[1]SAP!Q153</f>
        <v>0</v>
      </c>
      <c r="R153" s="27"/>
      <c r="S153" s="35">
        <f t="shared" si="14"/>
        <v>0</v>
      </c>
      <c r="T153" s="36">
        <f t="shared" si="21"/>
        <v>0</v>
      </c>
      <c r="V153" s="21">
        <f>S153-[1]FPG!S153-'[1]C.E.'!S153</f>
        <v>0</v>
      </c>
      <c r="W153" s="22"/>
    </row>
    <row r="154" spans="1:23" hidden="1" outlineLevel="1" x14ac:dyDescent="0.2">
      <c r="A154" s="9"/>
      <c r="B154" s="48"/>
      <c r="C154" s="31">
        <v>400102</v>
      </c>
      <c r="D154" s="32" t="s">
        <v>144</v>
      </c>
      <c r="E154" s="33"/>
      <c r="F154" s="34">
        <f>[1]FPG!F154+'[1]C.E.'!F154+[1]SAP!F154</f>
        <v>0</v>
      </c>
      <c r="G154" s="34">
        <f>[1]FPG!G154+'[1]C.E.'!G154+[1]SAP!G154</f>
        <v>0</v>
      </c>
      <c r="H154" s="34">
        <f>[1]FPG!H154+'[1]C.E.'!H154+[1]SAP!H154</f>
        <v>0</v>
      </c>
      <c r="I154" s="34">
        <f>[1]FPG!I154+'[1]C.E.'!I154+[1]SAP!I154</f>
        <v>0</v>
      </c>
      <c r="J154" s="34">
        <f>[1]FPG!J154+'[1]C.E.'!J154+[1]SAP!J154</f>
        <v>0</v>
      </c>
      <c r="K154" s="34">
        <f>[1]FPG!K154+'[1]C.E.'!K154+[1]SAP!K154</f>
        <v>0</v>
      </c>
      <c r="L154" s="34">
        <f>[1]FPG!L154+'[1]C.E.'!L154+[1]SAP!L154</f>
        <v>0</v>
      </c>
      <c r="M154" s="34">
        <f>[1]FPG!M154+'[1]C.E.'!M154+[1]SAP!M154</f>
        <v>0</v>
      </c>
      <c r="N154" s="34">
        <f>[1]FPG!N154+'[1]C.E.'!N154+[1]SAP!N154</f>
        <v>0</v>
      </c>
      <c r="O154" s="34">
        <f>[1]FPG!O154+'[1]C.E.'!O154+[1]SAP!O154</f>
        <v>0</v>
      </c>
      <c r="P154" s="34">
        <f>[1]FPG!P154+'[1]C.E.'!P154+[1]SAP!P154</f>
        <v>0</v>
      </c>
      <c r="Q154" s="34">
        <f>[1]FPG!Q154+'[1]C.E.'!Q154+[1]SAP!Q154</f>
        <v>0</v>
      </c>
      <c r="R154" s="27"/>
      <c r="S154" s="35">
        <f t="shared" si="14"/>
        <v>0</v>
      </c>
      <c r="T154" s="36">
        <f t="shared" si="21"/>
        <v>0</v>
      </c>
      <c r="V154" s="21">
        <f>S154-[1]FPG!S154-'[1]C.E.'!S154</f>
        <v>0</v>
      </c>
      <c r="W154" s="22"/>
    </row>
    <row r="155" spans="1:23" hidden="1" outlineLevel="1" x14ac:dyDescent="0.2">
      <c r="A155" s="9"/>
      <c r="B155" s="48"/>
      <c r="C155" s="31">
        <v>400103</v>
      </c>
      <c r="D155" s="32" t="s">
        <v>145</v>
      </c>
      <c r="E155" s="33"/>
      <c r="F155" s="34">
        <f>[1]FPG!F155+'[1]C.E.'!F155+[1]SAP!F155</f>
        <v>0</v>
      </c>
      <c r="G155" s="34">
        <f>[1]FPG!G155+'[1]C.E.'!G155+[1]SAP!G155</f>
        <v>0</v>
      </c>
      <c r="H155" s="34">
        <f>[1]FPG!H155+'[1]C.E.'!H155+[1]SAP!H155</f>
        <v>0</v>
      </c>
      <c r="I155" s="34">
        <f>[1]FPG!I155+'[1]C.E.'!I155+[1]SAP!I155</f>
        <v>0</v>
      </c>
      <c r="J155" s="34">
        <f>[1]FPG!J155+'[1]C.E.'!J155+[1]SAP!J155</f>
        <v>0</v>
      </c>
      <c r="K155" s="34">
        <f>[1]FPG!K155+'[1]C.E.'!K155+[1]SAP!K155</f>
        <v>0</v>
      </c>
      <c r="L155" s="34">
        <f>[1]FPG!L155+'[1]C.E.'!L155+[1]SAP!L155</f>
        <v>0</v>
      </c>
      <c r="M155" s="34">
        <f>[1]FPG!M155+'[1]C.E.'!M155+[1]SAP!M155</f>
        <v>0</v>
      </c>
      <c r="N155" s="34">
        <f>[1]FPG!N155+'[1]C.E.'!N155+[1]SAP!N155</f>
        <v>0</v>
      </c>
      <c r="O155" s="34">
        <f>[1]FPG!O155+'[1]C.E.'!O155+[1]SAP!O155</f>
        <v>0</v>
      </c>
      <c r="P155" s="34">
        <f>[1]FPG!P155+'[1]C.E.'!P155+[1]SAP!P155</f>
        <v>0</v>
      </c>
      <c r="Q155" s="34">
        <f>[1]FPG!Q155+'[1]C.E.'!Q155+[1]SAP!Q155</f>
        <v>0</v>
      </c>
      <c r="R155" s="27"/>
      <c r="S155" s="35">
        <f t="shared" si="14"/>
        <v>0</v>
      </c>
      <c r="T155" s="36">
        <f t="shared" si="21"/>
        <v>0</v>
      </c>
      <c r="V155" s="21">
        <f>S155-[1]FPG!S155-'[1]C.E.'!S155</f>
        <v>0</v>
      </c>
      <c r="W155" s="22"/>
    </row>
    <row r="156" spans="1:23" hidden="1" outlineLevel="1" x14ac:dyDescent="0.2">
      <c r="A156" s="9"/>
      <c r="B156" s="48"/>
      <c r="C156" s="31">
        <v>400104</v>
      </c>
      <c r="D156" s="32" t="s">
        <v>146</v>
      </c>
      <c r="E156" s="33"/>
      <c r="F156" s="34">
        <f>[1]FPG!F156+'[1]C.E.'!F156+[1]SAP!F156</f>
        <v>0</v>
      </c>
      <c r="G156" s="34">
        <f>[1]FPG!G156+'[1]C.E.'!G156+[1]SAP!G156</f>
        <v>0</v>
      </c>
      <c r="H156" s="34">
        <f>[1]FPG!H156+'[1]C.E.'!H156+[1]SAP!H156</f>
        <v>0</v>
      </c>
      <c r="I156" s="34">
        <f>[1]FPG!I156+'[1]C.E.'!I156+[1]SAP!I156</f>
        <v>0</v>
      </c>
      <c r="J156" s="34">
        <f>[1]FPG!J156+'[1]C.E.'!J156+[1]SAP!J156</f>
        <v>0</v>
      </c>
      <c r="K156" s="34">
        <f>[1]FPG!K156+'[1]C.E.'!K156+[1]SAP!K156</f>
        <v>0</v>
      </c>
      <c r="L156" s="34">
        <f>[1]FPG!L156+'[1]C.E.'!L156+[1]SAP!L156</f>
        <v>0</v>
      </c>
      <c r="M156" s="34">
        <f>[1]FPG!M156+'[1]C.E.'!M156+[1]SAP!M156</f>
        <v>0</v>
      </c>
      <c r="N156" s="34">
        <f>[1]FPG!N156+'[1]C.E.'!N156+[1]SAP!N156</f>
        <v>0</v>
      </c>
      <c r="O156" s="34">
        <f>[1]FPG!O156+'[1]C.E.'!O156+[1]SAP!O156</f>
        <v>0</v>
      </c>
      <c r="P156" s="34">
        <f>[1]FPG!P156+'[1]C.E.'!P156+[1]SAP!P156</f>
        <v>0</v>
      </c>
      <c r="Q156" s="34">
        <f>[1]FPG!Q156+'[1]C.E.'!Q156+[1]SAP!Q156</f>
        <v>0</v>
      </c>
      <c r="R156" s="27"/>
      <c r="S156" s="35">
        <f t="shared" si="14"/>
        <v>0</v>
      </c>
      <c r="T156" s="36">
        <f t="shared" si="21"/>
        <v>0</v>
      </c>
      <c r="V156" s="21">
        <f>S156-[1]FPG!S156-'[1]C.E.'!S156</f>
        <v>0</v>
      </c>
      <c r="W156" s="22"/>
    </row>
    <row r="157" spans="1:23" hidden="1" outlineLevel="1" x14ac:dyDescent="0.2">
      <c r="A157" s="9"/>
      <c r="B157" s="48"/>
      <c r="C157" s="31">
        <v>400105</v>
      </c>
      <c r="D157" s="32" t="s">
        <v>147</v>
      </c>
      <c r="E157" s="33"/>
      <c r="F157" s="34">
        <f>[1]FPG!F157+'[1]C.E.'!F157+[1]SAP!F157</f>
        <v>0</v>
      </c>
      <c r="G157" s="34">
        <f>[1]FPG!G157+'[1]C.E.'!G157+[1]SAP!G157</f>
        <v>0</v>
      </c>
      <c r="H157" s="34">
        <f>[1]FPG!H157+'[1]C.E.'!H157+[1]SAP!H157</f>
        <v>0</v>
      </c>
      <c r="I157" s="34">
        <f>[1]FPG!I157+'[1]C.E.'!I157+[1]SAP!I157</f>
        <v>0</v>
      </c>
      <c r="J157" s="34">
        <f>[1]FPG!J157+'[1]C.E.'!J157+[1]SAP!J157</f>
        <v>0</v>
      </c>
      <c r="K157" s="34">
        <f>[1]FPG!K157+'[1]C.E.'!K157+[1]SAP!K157</f>
        <v>0</v>
      </c>
      <c r="L157" s="34">
        <f>[1]FPG!L157+'[1]C.E.'!L157+[1]SAP!L157</f>
        <v>0</v>
      </c>
      <c r="M157" s="34">
        <f>[1]FPG!M157+'[1]C.E.'!M157+[1]SAP!M157</f>
        <v>0</v>
      </c>
      <c r="N157" s="34">
        <f>[1]FPG!N157+'[1]C.E.'!N157+[1]SAP!N157</f>
        <v>0</v>
      </c>
      <c r="O157" s="34">
        <f>[1]FPG!O157+'[1]C.E.'!O157+[1]SAP!O157</f>
        <v>0</v>
      </c>
      <c r="P157" s="34">
        <f>[1]FPG!P157+'[1]C.E.'!P157+[1]SAP!P157</f>
        <v>0</v>
      </c>
      <c r="Q157" s="34">
        <f>[1]FPG!Q157+'[1]C.E.'!Q157+[1]SAP!Q157</f>
        <v>0</v>
      </c>
      <c r="R157" s="27"/>
      <c r="S157" s="35">
        <f t="shared" si="14"/>
        <v>0</v>
      </c>
      <c r="T157" s="36">
        <f t="shared" si="21"/>
        <v>0</v>
      </c>
      <c r="V157" s="21">
        <f>S157-[1]FPG!S157-'[1]C.E.'!S157</f>
        <v>0</v>
      </c>
      <c r="W157" s="22"/>
    </row>
    <row r="158" spans="1:23" hidden="1" outlineLevel="1" x14ac:dyDescent="0.2">
      <c r="A158" s="9"/>
      <c r="B158" s="48"/>
      <c r="C158" s="31">
        <v>400106</v>
      </c>
      <c r="D158" s="32" t="s">
        <v>148</v>
      </c>
      <c r="E158" s="33"/>
      <c r="F158" s="34">
        <f>[1]FPG!F158+'[1]C.E.'!F158+[1]SAP!F158</f>
        <v>0</v>
      </c>
      <c r="G158" s="34">
        <f>[1]FPG!G158+'[1]C.E.'!G158+[1]SAP!G158</f>
        <v>0</v>
      </c>
      <c r="H158" s="34">
        <f>[1]FPG!H158+'[1]C.E.'!H158+[1]SAP!H158</f>
        <v>0</v>
      </c>
      <c r="I158" s="34">
        <f>[1]FPG!I158+'[1]C.E.'!I158+[1]SAP!I158</f>
        <v>0</v>
      </c>
      <c r="J158" s="34">
        <f>[1]FPG!J158+'[1]C.E.'!J158+[1]SAP!J158</f>
        <v>0</v>
      </c>
      <c r="K158" s="34">
        <f>[1]FPG!K158+'[1]C.E.'!K158+[1]SAP!K158</f>
        <v>0</v>
      </c>
      <c r="L158" s="34">
        <f>[1]FPG!L158+'[1]C.E.'!L158+[1]SAP!L158</f>
        <v>0</v>
      </c>
      <c r="M158" s="34">
        <f>[1]FPG!M158+'[1]C.E.'!M158+[1]SAP!M158</f>
        <v>0</v>
      </c>
      <c r="N158" s="34">
        <f>[1]FPG!N158+'[1]C.E.'!N158+[1]SAP!N158</f>
        <v>0</v>
      </c>
      <c r="O158" s="34">
        <f>[1]FPG!O158+'[1]C.E.'!O158+[1]SAP!O158</f>
        <v>0</v>
      </c>
      <c r="P158" s="34">
        <f>[1]FPG!P158+'[1]C.E.'!P158+[1]SAP!P158</f>
        <v>0</v>
      </c>
      <c r="Q158" s="34">
        <f>[1]FPG!Q158+'[1]C.E.'!Q158+[1]SAP!Q158</f>
        <v>0</v>
      </c>
      <c r="R158" s="27"/>
      <c r="S158" s="35">
        <f t="shared" si="14"/>
        <v>0</v>
      </c>
      <c r="T158" s="36">
        <f t="shared" si="21"/>
        <v>0</v>
      </c>
      <c r="V158" s="21">
        <f>S158-[1]FPG!S158-'[1]C.E.'!S158</f>
        <v>0</v>
      </c>
      <c r="W158" s="22"/>
    </row>
    <row r="159" spans="1:23" hidden="1" outlineLevel="1" x14ac:dyDescent="0.2">
      <c r="A159" s="9"/>
      <c r="B159" s="48"/>
      <c r="C159" s="31">
        <v>400107</v>
      </c>
      <c r="D159" s="32" t="s">
        <v>149</v>
      </c>
      <c r="E159" s="33"/>
      <c r="F159" s="34">
        <f>[1]FPG!F159+'[1]C.E.'!F159+[1]SAP!F159</f>
        <v>0</v>
      </c>
      <c r="G159" s="34">
        <f>[1]FPG!G159+'[1]C.E.'!G159+[1]SAP!G159</f>
        <v>0</v>
      </c>
      <c r="H159" s="34">
        <f>[1]FPG!H159+'[1]C.E.'!H159+[1]SAP!H159</f>
        <v>0</v>
      </c>
      <c r="I159" s="34">
        <f>[1]FPG!I159+'[1]C.E.'!I159+[1]SAP!I159</f>
        <v>0</v>
      </c>
      <c r="J159" s="34">
        <f>[1]FPG!J159+'[1]C.E.'!J159+[1]SAP!J159</f>
        <v>0</v>
      </c>
      <c r="K159" s="34">
        <f>[1]FPG!K159+'[1]C.E.'!K159+[1]SAP!K159</f>
        <v>0</v>
      </c>
      <c r="L159" s="34">
        <f>[1]FPG!L159+'[1]C.E.'!L159+[1]SAP!L159</f>
        <v>0</v>
      </c>
      <c r="M159" s="34">
        <f>[1]FPG!M159+'[1]C.E.'!M159+[1]SAP!M159</f>
        <v>0</v>
      </c>
      <c r="N159" s="34">
        <f>[1]FPG!N159+'[1]C.E.'!N159+[1]SAP!N159</f>
        <v>0</v>
      </c>
      <c r="O159" s="34">
        <f>[1]FPG!O159+'[1]C.E.'!O159+[1]SAP!O159</f>
        <v>0</v>
      </c>
      <c r="P159" s="34">
        <f>[1]FPG!P159+'[1]C.E.'!P159+[1]SAP!P159</f>
        <v>0</v>
      </c>
      <c r="Q159" s="34">
        <f>[1]FPG!Q159+'[1]C.E.'!Q159+[1]SAP!Q159</f>
        <v>0</v>
      </c>
      <c r="R159" s="27"/>
      <c r="S159" s="35">
        <f t="shared" si="14"/>
        <v>0</v>
      </c>
      <c r="T159" s="36">
        <f t="shared" si="21"/>
        <v>0</v>
      </c>
      <c r="V159" s="21">
        <f>S159-[1]FPG!S159-'[1]C.E.'!S159</f>
        <v>0</v>
      </c>
      <c r="W159" s="22"/>
    </row>
    <row r="160" spans="1:23" hidden="1" outlineLevel="1" x14ac:dyDescent="0.2">
      <c r="A160" s="9"/>
      <c r="B160" s="48"/>
      <c r="C160" s="31">
        <v>400108</v>
      </c>
      <c r="D160" s="32" t="s">
        <v>150</v>
      </c>
      <c r="E160" s="33"/>
      <c r="F160" s="34">
        <f>[1]FPG!F160+'[1]C.E.'!F160+[1]SAP!F160</f>
        <v>0</v>
      </c>
      <c r="G160" s="34">
        <f>[1]FPG!G160+'[1]C.E.'!G160+[1]SAP!G160</f>
        <v>0</v>
      </c>
      <c r="H160" s="34">
        <f>[1]FPG!H160+'[1]C.E.'!H160+[1]SAP!H160</f>
        <v>0</v>
      </c>
      <c r="I160" s="34">
        <f>[1]FPG!I160+'[1]C.E.'!I160+[1]SAP!I160</f>
        <v>0</v>
      </c>
      <c r="J160" s="34">
        <f>[1]FPG!J160+'[1]C.E.'!J160+[1]SAP!J160</f>
        <v>0</v>
      </c>
      <c r="K160" s="34">
        <f>[1]FPG!K160+'[1]C.E.'!K160+[1]SAP!K160</f>
        <v>0</v>
      </c>
      <c r="L160" s="34">
        <f>[1]FPG!L160+'[1]C.E.'!L160+[1]SAP!L160</f>
        <v>0</v>
      </c>
      <c r="M160" s="34">
        <f>[1]FPG!M160+'[1]C.E.'!M160+[1]SAP!M160</f>
        <v>0</v>
      </c>
      <c r="N160" s="34">
        <f>[1]FPG!N160+'[1]C.E.'!N160+[1]SAP!N160</f>
        <v>0</v>
      </c>
      <c r="O160" s="34">
        <f>[1]FPG!O160+'[1]C.E.'!O160+[1]SAP!O160</f>
        <v>0</v>
      </c>
      <c r="P160" s="34">
        <f>[1]FPG!P160+'[1]C.E.'!P160+[1]SAP!P160</f>
        <v>0</v>
      </c>
      <c r="Q160" s="34">
        <f>[1]FPG!Q160+'[1]C.E.'!Q160+[1]SAP!Q160</f>
        <v>0</v>
      </c>
      <c r="R160" s="27"/>
      <c r="S160" s="35">
        <f t="shared" si="14"/>
        <v>0</v>
      </c>
      <c r="T160" s="36">
        <f t="shared" si="21"/>
        <v>0</v>
      </c>
      <c r="V160" s="21">
        <f>S160-[1]FPG!S160-'[1]C.E.'!S160</f>
        <v>0</v>
      </c>
      <c r="W160" s="22"/>
    </row>
    <row r="161" spans="1:23" hidden="1" outlineLevel="1" x14ac:dyDescent="0.2">
      <c r="A161" s="9"/>
      <c r="B161" s="48"/>
      <c r="C161" s="31">
        <v>400109</v>
      </c>
      <c r="D161" s="32" t="s">
        <v>151</v>
      </c>
      <c r="E161" s="33"/>
      <c r="F161" s="34">
        <f>[1]FPG!F161+'[1]C.E.'!F161+[1]SAP!F161</f>
        <v>0</v>
      </c>
      <c r="G161" s="34">
        <f>[1]FPG!G161+'[1]C.E.'!G161+[1]SAP!G161</f>
        <v>0</v>
      </c>
      <c r="H161" s="34">
        <f>[1]FPG!H161+'[1]C.E.'!H161+[1]SAP!H161</f>
        <v>0</v>
      </c>
      <c r="I161" s="34">
        <f>[1]FPG!I161+'[1]C.E.'!I161+[1]SAP!I161</f>
        <v>0</v>
      </c>
      <c r="J161" s="34">
        <f>[1]FPG!J161+'[1]C.E.'!J161+[1]SAP!J161</f>
        <v>0</v>
      </c>
      <c r="K161" s="34">
        <f>[1]FPG!K161+'[1]C.E.'!K161+[1]SAP!K161</f>
        <v>0</v>
      </c>
      <c r="L161" s="34">
        <f>[1]FPG!L161+'[1]C.E.'!L161+[1]SAP!L161</f>
        <v>0</v>
      </c>
      <c r="M161" s="34">
        <f>[1]FPG!M161+'[1]C.E.'!M161+[1]SAP!M161</f>
        <v>0</v>
      </c>
      <c r="N161" s="34">
        <f>[1]FPG!N161+'[1]C.E.'!N161+[1]SAP!N161</f>
        <v>0</v>
      </c>
      <c r="O161" s="34">
        <f>[1]FPG!O161+'[1]C.E.'!O161+[1]SAP!O161</f>
        <v>0</v>
      </c>
      <c r="P161" s="34">
        <f>[1]FPG!P161+'[1]C.E.'!P161+[1]SAP!P161</f>
        <v>0</v>
      </c>
      <c r="Q161" s="34">
        <f>[1]FPG!Q161+'[1]C.E.'!Q161+[1]SAP!Q161</f>
        <v>0</v>
      </c>
      <c r="R161" s="27"/>
      <c r="S161" s="35">
        <f t="shared" si="14"/>
        <v>0</v>
      </c>
      <c r="T161" s="36">
        <f t="shared" si="21"/>
        <v>0</v>
      </c>
      <c r="V161" s="21">
        <f>S161-[1]FPG!S161-'[1]C.E.'!S161</f>
        <v>0</v>
      </c>
      <c r="W161" s="22"/>
    </row>
    <row r="162" spans="1:23" hidden="1" outlineLevel="1" x14ac:dyDescent="0.2">
      <c r="A162" s="9"/>
      <c r="B162" s="48"/>
      <c r="C162" s="31">
        <v>400110</v>
      </c>
      <c r="D162" s="32" t="s">
        <v>152</v>
      </c>
      <c r="E162" s="33"/>
      <c r="F162" s="34">
        <f>[1]FPG!F162+'[1]C.E.'!F162+[1]SAP!F162</f>
        <v>0</v>
      </c>
      <c r="G162" s="34">
        <f>[1]FPG!G162+'[1]C.E.'!G162+[1]SAP!G162</f>
        <v>0</v>
      </c>
      <c r="H162" s="34">
        <f>[1]FPG!H162+'[1]C.E.'!H162+[1]SAP!H162</f>
        <v>0</v>
      </c>
      <c r="I162" s="34">
        <f>[1]FPG!I162+'[1]C.E.'!I162+[1]SAP!I162</f>
        <v>0</v>
      </c>
      <c r="J162" s="34">
        <f>[1]FPG!J162+'[1]C.E.'!J162+[1]SAP!J162</f>
        <v>0</v>
      </c>
      <c r="K162" s="34">
        <f>[1]FPG!K162+'[1]C.E.'!K162+[1]SAP!K162</f>
        <v>0</v>
      </c>
      <c r="L162" s="34">
        <f>[1]FPG!L162+'[1]C.E.'!L162+[1]SAP!L162</f>
        <v>0</v>
      </c>
      <c r="M162" s="34">
        <f>[1]FPG!M162+'[1]C.E.'!M162+[1]SAP!M162</f>
        <v>0</v>
      </c>
      <c r="N162" s="34">
        <f>[1]FPG!N162+'[1]C.E.'!N162+[1]SAP!N162</f>
        <v>0</v>
      </c>
      <c r="O162" s="34">
        <f>[1]FPG!O162+'[1]C.E.'!O162+[1]SAP!O162</f>
        <v>0</v>
      </c>
      <c r="P162" s="34">
        <f>[1]FPG!P162+'[1]C.E.'!P162+[1]SAP!P162</f>
        <v>0</v>
      </c>
      <c r="Q162" s="34">
        <f>[1]FPG!Q162+'[1]C.E.'!Q162+[1]SAP!Q162</f>
        <v>0</v>
      </c>
      <c r="R162" s="27"/>
      <c r="S162" s="35">
        <f t="shared" si="14"/>
        <v>0</v>
      </c>
      <c r="T162" s="36">
        <f t="shared" si="21"/>
        <v>0</v>
      </c>
      <c r="V162" s="21">
        <f>S162-[1]FPG!S162-'[1]C.E.'!S162</f>
        <v>0</v>
      </c>
      <c r="W162" s="22"/>
    </row>
    <row r="163" spans="1:23" hidden="1" outlineLevel="1" x14ac:dyDescent="0.2">
      <c r="A163" s="9"/>
      <c r="B163" s="48"/>
      <c r="C163" s="31">
        <v>400111</v>
      </c>
      <c r="D163" s="32" t="s">
        <v>153</v>
      </c>
      <c r="E163" s="33"/>
      <c r="F163" s="34">
        <f>[1]FPG!F163+'[1]C.E.'!F163+[1]SAP!F163</f>
        <v>0</v>
      </c>
      <c r="G163" s="34">
        <f>[1]FPG!G163+'[1]C.E.'!G163+[1]SAP!G163</f>
        <v>0</v>
      </c>
      <c r="H163" s="34">
        <f>[1]FPG!H163+'[1]C.E.'!H163+[1]SAP!H163</f>
        <v>0</v>
      </c>
      <c r="I163" s="34">
        <f>[1]FPG!I163+'[1]C.E.'!I163+[1]SAP!I163</f>
        <v>0</v>
      </c>
      <c r="J163" s="34">
        <f>[1]FPG!J163+'[1]C.E.'!J163+[1]SAP!J163</f>
        <v>0</v>
      </c>
      <c r="K163" s="34">
        <f>[1]FPG!K163+'[1]C.E.'!K163+[1]SAP!K163</f>
        <v>0</v>
      </c>
      <c r="L163" s="34">
        <f>[1]FPG!L163+'[1]C.E.'!L163+[1]SAP!L163</f>
        <v>0</v>
      </c>
      <c r="M163" s="34">
        <f>[1]FPG!M163+'[1]C.E.'!M163+[1]SAP!M163</f>
        <v>0</v>
      </c>
      <c r="N163" s="34">
        <f>[1]FPG!N163+'[1]C.E.'!N163+[1]SAP!N163</f>
        <v>0</v>
      </c>
      <c r="O163" s="34">
        <f>[1]FPG!O163+'[1]C.E.'!O163+[1]SAP!O163</f>
        <v>0</v>
      </c>
      <c r="P163" s="34">
        <f>[1]FPG!P163+'[1]C.E.'!P163+[1]SAP!P163</f>
        <v>0</v>
      </c>
      <c r="Q163" s="34">
        <f>[1]FPG!Q163+'[1]C.E.'!Q163+[1]SAP!Q163</f>
        <v>0</v>
      </c>
      <c r="R163" s="27"/>
      <c r="S163" s="35">
        <f t="shared" si="14"/>
        <v>0</v>
      </c>
      <c r="T163" s="36">
        <f t="shared" si="21"/>
        <v>0</v>
      </c>
      <c r="V163" s="21">
        <f>S163-[1]FPG!S163-'[1]C.E.'!S163</f>
        <v>0</v>
      </c>
      <c r="W163" s="22"/>
    </row>
    <row r="164" spans="1:23" hidden="1" outlineLevel="1" x14ac:dyDescent="0.2">
      <c r="A164" s="9"/>
      <c r="B164" s="48"/>
      <c r="C164" s="31">
        <v>400112</v>
      </c>
      <c r="D164" s="32" t="s">
        <v>154</v>
      </c>
      <c r="E164" s="33"/>
      <c r="F164" s="34">
        <f>[1]FPG!F164+'[1]C.E.'!F164+[1]SAP!F164</f>
        <v>0</v>
      </c>
      <c r="G164" s="34">
        <f>[1]FPG!G164+'[1]C.E.'!G164+[1]SAP!G164</f>
        <v>0</v>
      </c>
      <c r="H164" s="34">
        <f>[1]FPG!H164+'[1]C.E.'!H164+[1]SAP!H164</f>
        <v>0</v>
      </c>
      <c r="I164" s="34">
        <f>[1]FPG!I164+'[1]C.E.'!I164+[1]SAP!I164</f>
        <v>0</v>
      </c>
      <c r="J164" s="34">
        <f>[1]FPG!J164+'[1]C.E.'!J164+[1]SAP!J164</f>
        <v>0</v>
      </c>
      <c r="K164" s="34">
        <f>[1]FPG!K164+'[1]C.E.'!K164+[1]SAP!K164</f>
        <v>0</v>
      </c>
      <c r="L164" s="34">
        <f>[1]FPG!L164+'[1]C.E.'!L164+[1]SAP!L164</f>
        <v>0</v>
      </c>
      <c r="M164" s="34">
        <f>[1]FPG!M164+'[1]C.E.'!M164+[1]SAP!M164</f>
        <v>0</v>
      </c>
      <c r="N164" s="34">
        <f>[1]FPG!N164+'[1]C.E.'!N164+[1]SAP!N164</f>
        <v>0</v>
      </c>
      <c r="O164" s="34">
        <f>[1]FPG!O164+'[1]C.E.'!O164+[1]SAP!O164</f>
        <v>0</v>
      </c>
      <c r="P164" s="34">
        <f>[1]FPG!P164+'[1]C.E.'!P164+[1]SAP!P164</f>
        <v>0</v>
      </c>
      <c r="Q164" s="34">
        <f>[1]FPG!Q164+'[1]C.E.'!Q164+[1]SAP!Q164</f>
        <v>0</v>
      </c>
      <c r="R164" s="27"/>
      <c r="S164" s="35">
        <f t="shared" si="14"/>
        <v>0</v>
      </c>
      <c r="T164" s="36">
        <f t="shared" si="21"/>
        <v>0</v>
      </c>
      <c r="V164" s="21">
        <f>S164-[1]FPG!S164-'[1]C.E.'!S164</f>
        <v>0</v>
      </c>
      <c r="W164" s="22"/>
    </row>
    <row r="165" spans="1:23" hidden="1" outlineLevel="1" x14ac:dyDescent="0.2">
      <c r="A165" s="9"/>
      <c r="B165" s="48"/>
      <c r="C165" s="31">
        <v>400113</v>
      </c>
      <c r="D165" s="32" t="s">
        <v>155</v>
      </c>
      <c r="E165" s="33"/>
      <c r="F165" s="34">
        <f>[1]FPG!F165+'[1]C.E.'!F165+[1]SAP!F165</f>
        <v>0</v>
      </c>
      <c r="G165" s="34">
        <f>[1]FPG!G165+'[1]C.E.'!G165+[1]SAP!G165</f>
        <v>0</v>
      </c>
      <c r="H165" s="34">
        <f>[1]FPG!H165+'[1]C.E.'!H165+[1]SAP!H165</f>
        <v>0</v>
      </c>
      <c r="I165" s="34">
        <f>[1]FPG!I165+'[1]C.E.'!I165+[1]SAP!I165</f>
        <v>0</v>
      </c>
      <c r="J165" s="34">
        <f>[1]FPG!J165+'[1]C.E.'!J165+[1]SAP!J165</f>
        <v>0</v>
      </c>
      <c r="K165" s="34">
        <f>[1]FPG!K165+'[1]C.E.'!K165+[1]SAP!K165</f>
        <v>0</v>
      </c>
      <c r="L165" s="34">
        <f>[1]FPG!L165+'[1]C.E.'!L165+[1]SAP!L165</f>
        <v>0</v>
      </c>
      <c r="M165" s="34">
        <f>[1]FPG!M165+'[1]C.E.'!M165+[1]SAP!M165</f>
        <v>0</v>
      </c>
      <c r="N165" s="34">
        <f>[1]FPG!N165+'[1]C.E.'!N165+[1]SAP!N165</f>
        <v>0</v>
      </c>
      <c r="O165" s="34">
        <f>[1]FPG!O165+'[1]C.E.'!O165+[1]SAP!O165</f>
        <v>0</v>
      </c>
      <c r="P165" s="34">
        <f>[1]FPG!P165+'[1]C.E.'!P165+[1]SAP!P165</f>
        <v>0</v>
      </c>
      <c r="Q165" s="34">
        <f>[1]FPG!Q165+'[1]C.E.'!Q165+[1]SAP!Q165</f>
        <v>0</v>
      </c>
      <c r="R165" s="27"/>
      <c r="S165" s="35">
        <f t="shared" si="14"/>
        <v>0</v>
      </c>
      <c r="T165" s="36">
        <f t="shared" si="21"/>
        <v>0</v>
      </c>
      <c r="V165" s="21">
        <f>S165-[1]FPG!S165-'[1]C.E.'!S165</f>
        <v>0</v>
      </c>
      <c r="W165" s="22"/>
    </row>
    <row r="166" spans="1:23" hidden="1" outlineLevel="1" x14ac:dyDescent="0.2">
      <c r="A166" s="9"/>
      <c r="B166" s="48"/>
      <c r="C166" s="31">
        <v>400114</v>
      </c>
      <c r="D166" s="32" t="s">
        <v>156</v>
      </c>
      <c r="E166" s="33"/>
      <c r="F166" s="34">
        <f>[1]FPG!F166+'[1]C.E.'!F166+[1]SAP!F166</f>
        <v>0</v>
      </c>
      <c r="G166" s="34">
        <f>[1]FPG!G166+'[1]C.E.'!G166+[1]SAP!G166</f>
        <v>0</v>
      </c>
      <c r="H166" s="34">
        <f>[1]FPG!H166+'[1]C.E.'!H166+[1]SAP!H166</f>
        <v>0</v>
      </c>
      <c r="I166" s="34">
        <f>[1]FPG!I166+'[1]C.E.'!I166+[1]SAP!I166</f>
        <v>0</v>
      </c>
      <c r="J166" s="34">
        <f>[1]FPG!J166+'[1]C.E.'!J166+[1]SAP!J166</f>
        <v>0</v>
      </c>
      <c r="K166" s="34">
        <f>[1]FPG!K166+'[1]C.E.'!K166+[1]SAP!K166</f>
        <v>0</v>
      </c>
      <c r="L166" s="34">
        <f>[1]FPG!L166+'[1]C.E.'!L166+[1]SAP!L166</f>
        <v>0</v>
      </c>
      <c r="M166" s="34">
        <f>[1]FPG!M166+'[1]C.E.'!M166+[1]SAP!M166</f>
        <v>0</v>
      </c>
      <c r="N166" s="34">
        <f>[1]FPG!N166+'[1]C.E.'!N166+[1]SAP!N166</f>
        <v>0</v>
      </c>
      <c r="O166" s="34">
        <f>[1]FPG!O166+'[1]C.E.'!O166+[1]SAP!O166</f>
        <v>0</v>
      </c>
      <c r="P166" s="34">
        <f>[1]FPG!P166+'[1]C.E.'!P166+[1]SAP!P166</f>
        <v>0</v>
      </c>
      <c r="Q166" s="34">
        <f>[1]FPG!Q166+'[1]C.E.'!Q166+[1]SAP!Q166</f>
        <v>0</v>
      </c>
      <c r="R166" s="27"/>
      <c r="S166" s="35">
        <f t="shared" si="14"/>
        <v>0</v>
      </c>
      <c r="T166" s="36">
        <f t="shared" si="21"/>
        <v>0</v>
      </c>
      <c r="V166" s="21">
        <f>S166-[1]FPG!S166-'[1]C.E.'!S166</f>
        <v>0</v>
      </c>
      <c r="W166" s="22"/>
    </row>
    <row r="167" spans="1:23" hidden="1" outlineLevel="1" x14ac:dyDescent="0.2">
      <c r="A167" s="9"/>
      <c r="B167" s="48"/>
      <c r="C167" s="31">
        <v>400115</v>
      </c>
      <c r="D167" s="32" t="s">
        <v>157</v>
      </c>
      <c r="E167" s="33"/>
      <c r="F167" s="34">
        <f>[1]FPG!F167+'[1]C.E.'!F167+[1]SAP!F167</f>
        <v>0</v>
      </c>
      <c r="G167" s="34">
        <f>[1]FPG!G167+'[1]C.E.'!G167+[1]SAP!G167</f>
        <v>0</v>
      </c>
      <c r="H167" s="34">
        <f>[1]FPG!H167+'[1]C.E.'!H167+[1]SAP!H167</f>
        <v>0</v>
      </c>
      <c r="I167" s="34">
        <f>[1]FPG!I167+'[1]C.E.'!I167+[1]SAP!I167</f>
        <v>0</v>
      </c>
      <c r="J167" s="34">
        <f>[1]FPG!J167+'[1]C.E.'!J167+[1]SAP!J167</f>
        <v>0</v>
      </c>
      <c r="K167" s="34">
        <f>[1]FPG!K167+'[1]C.E.'!K167+[1]SAP!K167</f>
        <v>0</v>
      </c>
      <c r="L167" s="34">
        <f>[1]FPG!L167+'[1]C.E.'!L167+[1]SAP!L167</f>
        <v>0</v>
      </c>
      <c r="M167" s="34">
        <f>[1]FPG!M167+'[1]C.E.'!M167+[1]SAP!M167</f>
        <v>0</v>
      </c>
      <c r="N167" s="34">
        <f>[1]FPG!N167+'[1]C.E.'!N167+[1]SAP!N167</f>
        <v>0</v>
      </c>
      <c r="O167" s="34">
        <f>[1]FPG!O167+'[1]C.E.'!O167+[1]SAP!O167</f>
        <v>0</v>
      </c>
      <c r="P167" s="34">
        <f>[1]FPG!P167+'[1]C.E.'!P167+[1]SAP!P167</f>
        <v>0</v>
      </c>
      <c r="Q167" s="34">
        <f>[1]FPG!Q167+'[1]C.E.'!Q167+[1]SAP!Q167</f>
        <v>0</v>
      </c>
      <c r="R167" s="27"/>
      <c r="S167" s="35">
        <f t="shared" si="14"/>
        <v>0</v>
      </c>
      <c r="T167" s="36">
        <f t="shared" si="21"/>
        <v>0</v>
      </c>
      <c r="V167" s="21">
        <f>S167-[1]FPG!S167-'[1]C.E.'!S167</f>
        <v>0</v>
      </c>
      <c r="W167" s="22"/>
    </row>
    <row r="168" spans="1:23" hidden="1" outlineLevel="1" x14ac:dyDescent="0.2">
      <c r="A168" s="9"/>
      <c r="B168" s="48"/>
      <c r="C168" s="31">
        <v>400116</v>
      </c>
      <c r="D168" s="32" t="s">
        <v>158</v>
      </c>
      <c r="E168" s="33"/>
      <c r="F168" s="34">
        <f>[1]FPG!F168+'[1]C.E.'!F168+[1]SAP!F168</f>
        <v>0</v>
      </c>
      <c r="G168" s="34">
        <f>[1]FPG!G168+'[1]C.E.'!G168+[1]SAP!G168</f>
        <v>0</v>
      </c>
      <c r="H168" s="34">
        <f>[1]FPG!H168+'[1]C.E.'!H168+[1]SAP!H168</f>
        <v>0</v>
      </c>
      <c r="I168" s="34">
        <f>[1]FPG!I168+'[1]C.E.'!I168+[1]SAP!I168</f>
        <v>0</v>
      </c>
      <c r="J168" s="34">
        <f>[1]FPG!J168+'[1]C.E.'!J168+[1]SAP!J168</f>
        <v>0</v>
      </c>
      <c r="K168" s="34">
        <f>[1]FPG!K168+'[1]C.E.'!K168+[1]SAP!K168</f>
        <v>0</v>
      </c>
      <c r="L168" s="34">
        <f>[1]FPG!L168+'[1]C.E.'!L168+[1]SAP!L168</f>
        <v>0</v>
      </c>
      <c r="M168" s="34">
        <f>[1]FPG!M168+'[1]C.E.'!M168+[1]SAP!M168</f>
        <v>0</v>
      </c>
      <c r="N168" s="34">
        <f>[1]FPG!N168+'[1]C.E.'!N168+[1]SAP!N168</f>
        <v>0</v>
      </c>
      <c r="O168" s="34">
        <f>[1]FPG!O168+'[1]C.E.'!O168+[1]SAP!O168</f>
        <v>0</v>
      </c>
      <c r="P168" s="34">
        <f>[1]FPG!P168+'[1]C.E.'!P168+[1]SAP!P168</f>
        <v>0</v>
      </c>
      <c r="Q168" s="34">
        <f>[1]FPG!Q168+'[1]C.E.'!Q168+[1]SAP!Q168</f>
        <v>0</v>
      </c>
      <c r="R168" s="27"/>
      <c r="S168" s="35">
        <f t="shared" si="14"/>
        <v>0</v>
      </c>
      <c r="T168" s="36">
        <f t="shared" si="21"/>
        <v>0</v>
      </c>
      <c r="V168" s="21">
        <f>S168-[1]FPG!S168-'[1]C.E.'!S168</f>
        <v>0</v>
      </c>
      <c r="W168" s="22"/>
    </row>
    <row r="169" spans="1:23" hidden="1" outlineLevel="1" x14ac:dyDescent="0.2">
      <c r="A169" s="9"/>
      <c r="B169" s="48"/>
      <c r="C169" s="31">
        <v>400117</v>
      </c>
      <c r="D169" s="32" t="s">
        <v>159</v>
      </c>
      <c r="E169" s="33"/>
      <c r="F169" s="34">
        <f>[1]FPG!F169+'[1]C.E.'!F169+[1]SAP!F169</f>
        <v>0</v>
      </c>
      <c r="G169" s="34">
        <f>[1]FPG!G169+'[1]C.E.'!G169+[1]SAP!G169</f>
        <v>0</v>
      </c>
      <c r="H169" s="34">
        <f>[1]FPG!H169+'[1]C.E.'!H169+[1]SAP!H169</f>
        <v>0</v>
      </c>
      <c r="I169" s="34">
        <f>[1]FPG!I169+'[1]C.E.'!I169+[1]SAP!I169</f>
        <v>0</v>
      </c>
      <c r="J169" s="34">
        <f>[1]FPG!J169+'[1]C.E.'!J169+[1]SAP!J169</f>
        <v>0</v>
      </c>
      <c r="K169" s="34">
        <f>[1]FPG!K169+'[1]C.E.'!K169+[1]SAP!K169</f>
        <v>0</v>
      </c>
      <c r="L169" s="34">
        <f>[1]FPG!L169+'[1]C.E.'!L169+[1]SAP!L169</f>
        <v>0</v>
      </c>
      <c r="M169" s="34">
        <f>[1]FPG!M169+'[1]C.E.'!M169+[1]SAP!M169</f>
        <v>0</v>
      </c>
      <c r="N169" s="34">
        <f>[1]FPG!N169+'[1]C.E.'!N169+[1]SAP!N169</f>
        <v>0</v>
      </c>
      <c r="O169" s="34">
        <f>[1]FPG!O169+'[1]C.E.'!O169+[1]SAP!O169</f>
        <v>0</v>
      </c>
      <c r="P169" s="34">
        <f>[1]FPG!P169+'[1]C.E.'!P169+[1]SAP!P169</f>
        <v>0</v>
      </c>
      <c r="Q169" s="34">
        <f>[1]FPG!Q169+'[1]C.E.'!Q169+[1]SAP!Q169</f>
        <v>0</v>
      </c>
      <c r="R169" s="27"/>
      <c r="S169" s="35">
        <f t="shared" si="14"/>
        <v>0</v>
      </c>
      <c r="T169" s="36">
        <f t="shared" si="21"/>
        <v>0</v>
      </c>
      <c r="V169" s="21">
        <f>S169-[1]FPG!S169-'[1]C.E.'!S169</f>
        <v>0</v>
      </c>
      <c r="W169" s="22"/>
    </row>
    <row r="170" spans="1:23" hidden="1" outlineLevel="1" x14ac:dyDescent="0.2">
      <c r="A170" s="9"/>
      <c r="B170" s="48"/>
      <c r="C170" s="31">
        <v>400118</v>
      </c>
      <c r="D170" s="32" t="s">
        <v>160</v>
      </c>
      <c r="E170" s="33"/>
      <c r="F170" s="34">
        <f>[1]FPG!F170+'[1]C.E.'!F170+[1]SAP!F170</f>
        <v>0</v>
      </c>
      <c r="G170" s="34">
        <f>[1]FPG!G170+'[1]C.E.'!G170+[1]SAP!G170</f>
        <v>0</v>
      </c>
      <c r="H170" s="34">
        <f>[1]FPG!H170+'[1]C.E.'!H170+[1]SAP!H170</f>
        <v>0</v>
      </c>
      <c r="I170" s="34">
        <f>[1]FPG!I170+'[1]C.E.'!I170+[1]SAP!I170</f>
        <v>0</v>
      </c>
      <c r="J170" s="34">
        <f>[1]FPG!J170+'[1]C.E.'!J170+[1]SAP!J170</f>
        <v>0</v>
      </c>
      <c r="K170" s="34">
        <f>[1]FPG!K170+'[1]C.E.'!K170+[1]SAP!K170</f>
        <v>0</v>
      </c>
      <c r="L170" s="34">
        <f>[1]FPG!L170+'[1]C.E.'!L170+[1]SAP!L170</f>
        <v>0</v>
      </c>
      <c r="M170" s="34">
        <f>[1]FPG!M170+'[1]C.E.'!M170+[1]SAP!M170</f>
        <v>0</v>
      </c>
      <c r="N170" s="34">
        <f>[1]FPG!N170+'[1]C.E.'!N170+[1]SAP!N170</f>
        <v>0</v>
      </c>
      <c r="O170" s="34">
        <f>[1]FPG!O170+'[1]C.E.'!O170+[1]SAP!O170</f>
        <v>0</v>
      </c>
      <c r="P170" s="34">
        <f>[1]FPG!P170+'[1]C.E.'!P170+[1]SAP!P170</f>
        <v>0</v>
      </c>
      <c r="Q170" s="34">
        <f>[1]FPG!Q170+'[1]C.E.'!Q170+[1]SAP!Q170</f>
        <v>0</v>
      </c>
      <c r="R170" s="27"/>
      <c r="S170" s="35">
        <f t="shared" si="14"/>
        <v>0</v>
      </c>
      <c r="T170" s="36">
        <f t="shared" si="21"/>
        <v>0</v>
      </c>
      <c r="V170" s="21">
        <f>S170-[1]FPG!S170-'[1]C.E.'!S170</f>
        <v>0</v>
      </c>
      <c r="W170" s="22"/>
    </row>
    <row r="171" spans="1:23" hidden="1" outlineLevel="1" x14ac:dyDescent="0.2">
      <c r="A171" s="9"/>
      <c r="B171" s="48"/>
      <c r="C171" s="31">
        <v>400119</v>
      </c>
      <c r="D171" s="32" t="s">
        <v>161</v>
      </c>
      <c r="E171" s="33"/>
      <c r="F171" s="34">
        <f>[1]FPG!F171+'[1]C.E.'!F171+[1]SAP!F171</f>
        <v>0</v>
      </c>
      <c r="G171" s="34">
        <f>[1]FPG!G171+'[1]C.E.'!G171+[1]SAP!G171</f>
        <v>0</v>
      </c>
      <c r="H171" s="34">
        <f>[1]FPG!H171+'[1]C.E.'!H171+[1]SAP!H171</f>
        <v>0</v>
      </c>
      <c r="I171" s="34">
        <f>[1]FPG!I171+'[1]C.E.'!I171+[1]SAP!I171</f>
        <v>0</v>
      </c>
      <c r="J171" s="34">
        <f>[1]FPG!J171+'[1]C.E.'!J171+[1]SAP!J171</f>
        <v>0</v>
      </c>
      <c r="K171" s="34">
        <f>[1]FPG!K171+'[1]C.E.'!K171+[1]SAP!K171</f>
        <v>0</v>
      </c>
      <c r="L171" s="34">
        <f>[1]FPG!L171+'[1]C.E.'!L171+[1]SAP!L171</f>
        <v>0</v>
      </c>
      <c r="M171" s="34">
        <f>[1]FPG!M171+'[1]C.E.'!M171+[1]SAP!M171</f>
        <v>0</v>
      </c>
      <c r="N171" s="34">
        <f>[1]FPG!N171+'[1]C.E.'!N171+[1]SAP!N171</f>
        <v>0</v>
      </c>
      <c r="O171" s="34">
        <f>[1]FPG!O171+'[1]C.E.'!O171+[1]SAP!O171</f>
        <v>0</v>
      </c>
      <c r="P171" s="34">
        <f>[1]FPG!P171+'[1]C.E.'!P171+[1]SAP!P171</f>
        <v>0</v>
      </c>
      <c r="Q171" s="34">
        <f>[1]FPG!Q171+'[1]C.E.'!Q171+[1]SAP!Q171</f>
        <v>0</v>
      </c>
      <c r="R171" s="27"/>
      <c r="S171" s="35">
        <f t="shared" ref="S171:S234" si="22">SUM(F171:R171)</f>
        <v>0</v>
      </c>
      <c r="T171" s="36">
        <f t="shared" si="21"/>
        <v>0</v>
      </c>
      <c r="V171" s="21">
        <f>S171-[1]FPG!S171-'[1]C.E.'!S171</f>
        <v>0</v>
      </c>
      <c r="W171" s="22"/>
    </row>
    <row r="172" spans="1:23" hidden="1" outlineLevel="1" x14ac:dyDescent="0.2">
      <c r="A172" s="9"/>
      <c r="B172" s="48"/>
      <c r="C172" s="31">
        <v>400120</v>
      </c>
      <c r="D172" s="32" t="s">
        <v>69</v>
      </c>
      <c r="E172" s="33"/>
      <c r="F172" s="34">
        <f>[1]FPG!F172+'[1]C.E.'!F172+[1]SAP!F172</f>
        <v>0</v>
      </c>
      <c r="G172" s="34">
        <f>[1]FPG!G172+'[1]C.E.'!G172+[1]SAP!G172</f>
        <v>0</v>
      </c>
      <c r="H172" s="34">
        <f>[1]FPG!H172+'[1]C.E.'!H172+[1]SAP!H172</f>
        <v>0</v>
      </c>
      <c r="I172" s="34">
        <f>[1]FPG!I172+'[1]C.E.'!I172+[1]SAP!I172</f>
        <v>0</v>
      </c>
      <c r="J172" s="34">
        <f>[1]FPG!J172+'[1]C.E.'!J172+[1]SAP!J172</f>
        <v>0</v>
      </c>
      <c r="K172" s="34">
        <f>[1]FPG!K172+'[1]C.E.'!K172+[1]SAP!K172</f>
        <v>0</v>
      </c>
      <c r="L172" s="34">
        <f>[1]FPG!L172+'[1]C.E.'!L172+[1]SAP!L172</f>
        <v>0</v>
      </c>
      <c r="M172" s="34">
        <f>[1]FPG!M172+'[1]C.E.'!M172+[1]SAP!M172</f>
        <v>0</v>
      </c>
      <c r="N172" s="34">
        <f>[1]FPG!N172+'[1]C.E.'!N172+[1]SAP!N172</f>
        <v>0</v>
      </c>
      <c r="O172" s="34">
        <f>[1]FPG!O172+'[1]C.E.'!O172+[1]SAP!O172</f>
        <v>0</v>
      </c>
      <c r="P172" s="34">
        <f>[1]FPG!P172+'[1]C.E.'!P172+[1]SAP!P172</f>
        <v>0</v>
      </c>
      <c r="Q172" s="34">
        <f>[1]FPG!Q172+'[1]C.E.'!Q172+[1]SAP!Q172</f>
        <v>0</v>
      </c>
      <c r="R172" s="27"/>
      <c r="S172" s="35">
        <f t="shared" si="22"/>
        <v>0</v>
      </c>
      <c r="T172" s="36">
        <f t="shared" si="21"/>
        <v>0</v>
      </c>
      <c r="V172" s="21">
        <f>S172-[1]FPG!S172-'[1]C.E.'!S172</f>
        <v>0</v>
      </c>
      <c r="W172" s="22"/>
    </row>
    <row r="173" spans="1:23" hidden="1" outlineLevel="1" x14ac:dyDescent="0.2">
      <c r="A173" s="9"/>
      <c r="B173" s="48"/>
      <c r="C173" s="31">
        <v>400303</v>
      </c>
      <c r="D173" s="32" t="s">
        <v>162</v>
      </c>
      <c r="E173" s="33"/>
      <c r="F173" s="34">
        <f>[1]FPG!F173+'[1]C.E.'!F173+[1]SAP!F173</f>
        <v>0</v>
      </c>
      <c r="G173" s="34">
        <f>[1]FPG!G173+'[1]C.E.'!G173+[1]SAP!G173</f>
        <v>0</v>
      </c>
      <c r="H173" s="34">
        <f>[1]FPG!H173+'[1]C.E.'!H173+[1]SAP!H173</f>
        <v>0</v>
      </c>
      <c r="I173" s="34">
        <f>[1]FPG!I173+'[1]C.E.'!I173+[1]SAP!I173</f>
        <v>0</v>
      </c>
      <c r="J173" s="34">
        <f>[1]FPG!J173+'[1]C.E.'!J173+[1]SAP!J173</f>
        <v>0</v>
      </c>
      <c r="K173" s="34">
        <f>[1]FPG!K173+'[1]C.E.'!K173+[1]SAP!K173</f>
        <v>0</v>
      </c>
      <c r="L173" s="34">
        <f>[1]FPG!L173+'[1]C.E.'!L173+[1]SAP!L173</f>
        <v>0</v>
      </c>
      <c r="M173" s="34">
        <f>[1]FPG!M173+'[1]C.E.'!M173+[1]SAP!M173</f>
        <v>0</v>
      </c>
      <c r="N173" s="34">
        <f>[1]FPG!N173+'[1]C.E.'!N173+[1]SAP!N173</f>
        <v>0</v>
      </c>
      <c r="O173" s="34">
        <f>[1]FPG!O173+'[1]C.E.'!O173+[1]SAP!O173</f>
        <v>0</v>
      </c>
      <c r="P173" s="34">
        <f>[1]FPG!P173+'[1]C.E.'!P173+[1]SAP!P173</f>
        <v>0</v>
      </c>
      <c r="Q173" s="34">
        <f>[1]FPG!Q173+'[1]C.E.'!Q173+[1]SAP!Q173</f>
        <v>0</v>
      </c>
      <c r="R173" s="27"/>
      <c r="S173" s="35">
        <f t="shared" si="22"/>
        <v>0</v>
      </c>
      <c r="T173" s="36">
        <f t="shared" si="21"/>
        <v>0</v>
      </c>
      <c r="V173" s="21">
        <f>S173-[1]FPG!S173-'[1]C.E.'!S173</f>
        <v>0</v>
      </c>
      <c r="W173" s="22"/>
    </row>
    <row r="174" spans="1:23" hidden="1" outlineLevel="1" x14ac:dyDescent="0.2">
      <c r="A174" s="9"/>
      <c r="B174" s="48"/>
      <c r="C174" s="31">
        <v>400309</v>
      </c>
      <c r="D174" s="32" t="s">
        <v>163</v>
      </c>
      <c r="E174" s="33"/>
      <c r="F174" s="34">
        <f>[1]FPG!F174+'[1]C.E.'!F174+[1]SAP!F174</f>
        <v>0</v>
      </c>
      <c r="G174" s="34">
        <f>[1]FPG!G174+'[1]C.E.'!G174+[1]SAP!G174</f>
        <v>0</v>
      </c>
      <c r="H174" s="34">
        <f>[1]FPG!H174+'[1]C.E.'!H174+[1]SAP!H174</f>
        <v>0</v>
      </c>
      <c r="I174" s="34">
        <f>[1]FPG!I174+'[1]C.E.'!I174+[1]SAP!I174</f>
        <v>0</v>
      </c>
      <c r="J174" s="34">
        <f>[1]FPG!J174+'[1]C.E.'!J174+[1]SAP!J174</f>
        <v>0</v>
      </c>
      <c r="K174" s="34">
        <f>[1]FPG!K174+'[1]C.E.'!K174+[1]SAP!K174</f>
        <v>0</v>
      </c>
      <c r="L174" s="34">
        <f>[1]FPG!L174+'[1]C.E.'!L174+[1]SAP!L174</f>
        <v>0</v>
      </c>
      <c r="M174" s="34">
        <f>[1]FPG!M174+'[1]C.E.'!M174+[1]SAP!M174</f>
        <v>0</v>
      </c>
      <c r="N174" s="34">
        <f>[1]FPG!N174+'[1]C.E.'!N174+[1]SAP!N174</f>
        <v>0</v>
      </c>
      <c r="O174" s="34">
        <f>[1]FPG!O174+'[1]C.E.'!O174+[1]SAP!O174</f>
        <v>0</v>
      </c>
      <c r="P174" s="34">
        <f>[1]FPG!P174+'[1]C.E.'!P174+[1]SAP!P174</f>
        <v>0</v>
      </c>
      <c r="Q174" s="34">
        <f>[1]FPG!Q174+'[1]C.E.'!Q174+[1]SAP!Q174</f>
        <v>0</v>
      </c>
      <c r="R174" s="27"/>
      <c r="S174" s="35">
        <f t="shared" si="22"/>
        <v>0</v>
      </c>
      <c r="T174" s="36">
        <f t="shared" si="21"/>
        <v>0</v>
      </c>
      <c r="V174" s="21">
        <f>S174-[1]FPG!S174-'[1]C.E.'!S174</f>
        <v>0</v>
      </c>
      <c r="W174" s="22"/>
    </row>
    <row r="175" spans="1:23" x14ac:dyDescent="0.2">
      <c r="A175" s="9"/>
      <c r="B175" s="49" t="s">
        <v>164</v>
      </c>
      <c r="C175" s="49" t="s">
        <v>165</v>
      </c>
      <c r="D175" s="50"/>
      <c r="E175" s="51" t="s">
        <v>57</v>
      </c>
      <c r="F175" s="52">
        <f>SUM(F176:F199)</f>
        <v>2000</v>
      </c>
      <c r="G175" s="52">
        <f t="shared" ref="G175:Q175" si="23">SUM(G176:G199)</f>
        <v>2000</v>
      </c>
      <c r="H175" s="52">
        <f t="shared" si="23"/>
        <v>2000</v>
      </c>
      <c r="I175" s="52">
        <f t="shared" si="23"/>
        <v>2000</v>
      </c>
      <c r="J175" s="52">
        <f t="shared" si="23"/>
        <v>2000</v>
      </c>
      <c r="K175" s="52">
        <f t="shared" si="23"/>
        <v>2000</v>
      </c>
      <c r="L175" s="52">
        <f t="shared" si="23"/>
        <v>2000</v>
      </c>
      <c r="M175" s="52">
        <f t="shared" si="23"/>
        <v>2000</v>
      </c>
      <c r="N175" s="52">
        <f t="shared" si="23"/>
        <v>2000</v>
      </c>
      <c r="O175" s="52">
        <f t="shared" si="23"/>
        <v>2000</v>
      </c>
      <c r="P175" s="52">
        <f t="shared" si="23"/>
        <v>2000</v>
      </c>
      <c r="Q175" s="52">
        <f t="shared" si="23"/>
        <v>2000</v>
      </c>
      <c r="R175" s="27"/>
      <c r="S175" s="28">
        <f t="shared" si="22"/>
        <v>24000</v>
      </c>
      <c r="T175" s="29">
        <f>S175/$S$43</f>
        <v>2.0505576482840663E-3</v>
      </c>
      <c r="V175" s="21">
        <f>S175-[1]FPG!S175-'[1]C.E.'!S175</f>
        <v>0</v>
      </c>
      <c r="W175" s="22"/>
    </row>
    <row r="176" spans="1:23" ht="30.6" outlineLevel="1" x14ac:dyDescent="0.2">
      <c r="A176" s="9"/>
      <c r="B176" s="48"/>
      <c r="C176" s="31">
        <v>400121</v>
      </c>
      <c r="D176" s="62" t="s">
        <v>166</v>
      </c>
      <c r="E176" s="33"/>
      <c r="F176" s="34">
        <f>[1]FPG!F176+'[1]C.E.'!F176+[1]SAP!F176</f>
        <v>2000</v>
      </c>
      <c r="G176" s="34">
        <f>[1]FPG!G176+'[1]C.E.'!G176+[1]SAP!G176</f>
        <v>2000</v>
      </c>
      <c r="H176" s="34">
        <f>[1]FPG!H176+'[1]C.E.'!H176+[1]SAP!H176</f>
        <v>2000</v>
      </c>
      <c r="I176" s="34">
        <f>[1]FPG!I176+'[1]C.E.'!I176+[1]SAP!I176</f>
        <v>2000</v>
      </c>
      <c r="J176" s="34">
        <f>[1]FPG!J176+'[1]C.E.'!J176+[1]SAP!J176</f>
        <v>2000</v>
      </c>
      <c r="K176" s="34">
        <f>[1]FPG!K176+'[1]C.E.'!K176+[1]SAP!K176</f>
        <v>2000</v>
      </c>
      <c r="L176" s="34">
        <f>[1]FPG!L176+'[1]C.E.'!L176+[1]SAP!L176</f>
        <v>2000</v>
      </c>
      <c r="M176" s="34">
        <f>[1]FPG!M176+'[1]C.E.'!M176+[1]SAP!M176</f>
        <v>2000</v>
      </c>
      <c r="N176" s="34">
        <f>[1]FPG!N176+'[1]C.E.'!N176+[1]SAP!N176</f>
        <v>2000</v>
      </c>
      <c r="O176" s="34">
        <f>[1]FPG!O176+'[1]C.E.'!O176+[1]SAP!O176</f>
        <v>2000</v>
      </c>
      <c r="P176" s="34">
        <f>[1]FPG!P176+'[1]C.E.'!P176+[1]SAP!P176</f>
        <v>2000</v>
      </c>
      <c r="Q176" s="34">
        <f>[1]FPG!Q176+'[1]C.E.'!Q176+[1]SAP!Q176</f>
        <v>2000</v>
      </c>
      <c r="R176" s="27"/>
      <c r="S176" s="35">
        <f t="shared" si="22"/>
        <v>24000</v>
      </c>
      <c r="T176" s="36">
        <f t="shared" si="21"/>
        <v>2.0505576482840663E-3</v>
      </c>
      <c r="V176" s="21">
        <f>S176-[1]FPG!S176-'[1]C.E.'!S176</f>
        <v>0</v>
      </c>
      <c r="W176" s="22"/>
    </row>
    <row r="177" spans="1:23" hidden="1" outlineLevel="1" x14ac:dyDescent="0.2">
      <c r="A177" s="9"/>
      <c r="B177" s="48"/>
      <c r="C177" s="31">
        <v>400122</v>
      </c>
      <c r="D177" s="32" t="s">
        <v>167</v>
      </c>
      <c r="E177" s="33"/>
      <c r="F177" s="34">
        <f>[1]FPG!F177+'[1]C.E.'!F177+[1]SAP!F177</f>
        <v>0</v>
      </c>
      <c r="G177" s="34">
        <f>[1]FPG!G177+'[1]C.E.'!G177+[1]SAP!G177</f>
        <v>0</v>
      </c>
      <c r="H177" s="34">
        <f>[1]FPG!H177+'[1]C.E.'!H177+[1]SAP!H177</f>
        <v>0</v>
      </c>
      <c r="I177" s="34">
        <f>[1]FPG!I177+'[1]C.E.'!I177+[1]SAP!I177</f>
        <v>0</v>
      </c>
      <c r="J177" s="34">
        <f>[1]FPG!J177+'[1]C.E.'!J177+[1]SAP!J177</f>
        <v>0</v>
      </c>
      <c r="K177" s="34">
        <f>[1]FPG!K177+'[1]C.E.'!K177+[1]SAP!K177</f>
        <v>0</v>
      </c>
      <c r="L177" s="34">
        <f>[1]FPG!L177+'[1]C.E.'!L177+[1]SAP!L177</f>
        <v>0</v>
      </c>
      <c r="M177" s="34">
        <f>[1]FPG!M177+'[1]C.E.'!M177+[1]SAP!M177</f>
        <v>0</v>
      </c>
      <c r="N177" s="34">
        <f>[1]FPG!N177+'[1]C.E.'!N177+[1]SAP!N177</f>
        <v>0</v>
      </c>
      <c r="O177" s="34">
        <f>[1]FPG!O177+'[1]C.E.'!O177+[1]SAP!O177</f>
        <v>0</v>
      </c>
      <c r="P177" s="34">
        <f>[1]FPG!P177+'[1]C.E.'!P177+[1]SAP!P177</f>
        <v>0</v>
      </c>
      <c r="Q177" s="34">
        <f>[1]FPG!Q177+'[1]C.E.'!Q177+[1]SAP!Q177</f>
        <v>0</v>
      </c>
      <c r="R177" s="27"/>
      <c r="S177" s="35">
        <f t="shared" si="22"/>
        <v>0</v>
      </c>
      <c r="T177" s="36">
        <f t="shared" si="21"/>
        <v>0</v>
      </c>
      <c r="V177" s="21">
        <f>S177-[1]FPG!S177-'[1]C.E.'!S177</f>
        <v>0</v>
      </c>
      <c r="W177" s="22"/>
    </row>
    <row r="178" spans="1:23" hidden="1" outlineLevel="1" x14ac:dyDescent="0.2">
      <c r="A178" s="9"/>
      <c r="B178" s="48"/>
      <c r="C178" s="31">
        <v>400123</v>
      </c>
      <c r="D178" s="32" t="s">
        <v>168</v>
      </c>
      <c r="E178" s="33"/>
      <c r="F178" s="34">
        <f>[1]FPG!F178+'[1]C.E.'!F178+[1]SAP!F178</f>
        <v>0</v>
      </c>
      <c r="G178" s="34">
        <f>[1]FPG!G178+'[1]C.E.'!G178+[1]SAP!G178</f>
        <v>0</v>
      </c>
      <c r="H178" s="34">
        <f>[1]FPG!H178+'[1]C.E.'!H178+[1]SAP!H178</f>
        <v>0</v>
      </c>
      <c r="I178" s="34">
        <f>[1]FPG!I178+'[1]C.E.'!I178+[1]SAP!I178</f>
        <v>0</v>
      </c>
      <c r="J178" s="34">
        <f>[1]FPG!J178+'[1]C.E.'!J178+[1]SAP!J178</f>
        <v>0</v>
      </c>
      <c r="K178" s="34">
        <f>[1]FPG!K178+'[1]C.E.'!K178+[1]SAP!K178</f>
        <v>0</v>
      </c>
      <c r="L178" s="34">
        <f>[1]FPG!L178+'[1]C.E.'!L178+[1]SAP!L178</f>
        <v>0</v>
      </c>
      <c r="M178" s="34">
        <f>[1]FPG!M178+'[1]C.E.'!M178+[1]SAP!M178</f>
        <v>0</v>
      </c>
      <c r="N178" s="34">
        <f>[1]FPG!N178+'[1]C.E.'!N178+[1]SAP!N178</f>
        <v>0</v>
      </c>
      <c r="O178" s="34">
        <f>[1]FPG!O178+'[1]C.E.'!O178+[1]SAP!O178</f>
        <v>0</v>
      </c>
      <c r="P178" s="34">
        <f>[1]FPG!P178+'[1]C.E.'!P178+[1]SAP!P178</f>
        <v>0</v>
      </c>
      <c r="Q178" s="34">
        <f>[1]FPG!Q178+'[1]C.E.'!Q178+[1]SAP!Q178</f>
        <v>0</v>
      </c>
      <c r="R178" s="27"/>
      <c r="S178" s="35">
        <f t="shared" si="22"/>
        <v>0</v>
      </c>
      <c r="T178" s="36">
        <f t="shared" si="21"/>
        <v>0</v>
      </c>
      <c r="V178" s="21">
        <f>S178-[1]FPG!S178-'[1]C.E.'!S178</f>
        <v>0</v>
      </c>
      <c r="W178" s="22"/>
    </row>
    <row r="179" spans="1:23" hidden="1" outlineLevel="1" x14ac:dyDescent="0.2">
      <c r="A179" s="9"/>
      <c r="B179" s="48"/>
      <c r="C179" s="31">
        <v>400124</v>
      </c>
      <c r="D179" s="32" t="s">
        <v>169</v>
      </c>
      <c r="E179" s="33"/>
      <c r="F179" s="34">
        <f>[1]FPG!F179+'[1]C.E.'!F179+[1]SAP!F179</f>
        <v>0</v>
      </c>
      <c r="G179" s="34">
        <f>[1]FPG!G179+'[1]C.E.'!G179+[1]SAP!G179</f>
        <v>0</v>
      </c>
      <c r="H179" s="34">
        <f>[1]FPG!H179+'[1]C.E.'!H179+[1]SAP!H179</f>
        <v>0</v>
      </c>
      <c r="I179" s="34">
        <f>[1]FPG!I179+'[1]C.E.'!I179+[1]SAP!I179</f>
        <v>0</v>
      </c>
      <c r="J179" s="34">
        <f>[1]FPG!J179+'[1]C.E.'!J179+[1]SAP!J179</f>
        <v>0</v>
      </c>
      <c r="K179" s="34">
        <f>[1]FPG!K179+'[1]C.E.'!K179+[1]SAP!K179</f>
        <v>0</v>
      </c>
      <c r="L179" s="34">
        <f>[1]FPG!L179+'[1]C.E.'!L179+[1]SAP!L179</f>
        <v>0</v>
      </c>
      <c r="M179" s="34">
        <f>[1]FPG!M179+'[1]C.E.'!M179+[1]SAP!M179</f>
        <v>0</v>
      </c>
      <c r="N179" s="34">
        <f>[1]FPG!N179+'[1]C.E.'!N179+[1]SAP!N179</f>
        <v>0</v>
      </c>
      <c r="O179" s="34">
        <f>[1]FPG!O179+'[1]C.E.'!O179+[1]SAP!O179</f>
        <v>0</v>
      </c>
      <c r="P179" s="34">
        <f>[1]FPG!P179+'[1]C.E.'!P179+[1]SAP!P179</f>
        <v>0</v>
      </c>
      <c r="Q179" s="34">
        <f>[1]FPG!Q179+'[1]C.E.'!Q179+[1]SAP!Q179</f>
        <v>0</v>
      </c>
      <c r="R179" s="27"/>
      <c r="S179" s="35">
        <f t="shared" si="22"/>
        <v>0</v>
      </c>
      <c r="T179" s="36">
        <f t="shared" si="21"/>
        <v>0</v>
      </c>
      <c r="V179" s="21">
        <f>S179-[1]FPG!S179-'[1]C.E.'!S179</f>
        <v>0</v>
      </c>
      <c r="W179" s="22"/>
    </row>
    <row r="180" spans="1:23" hidden="1" outlineLevel="1" x14ac:dyDescent="0.2">
      <c r="A180" s="9"/>
      <c r="B180" s="48"/>
      <c r="C180" s="31">
        <v>400125</v>
      </c>
      <c r="D180" s="32" t="s">
        <v>170</v>
      </c>
      <c r="E180" s="33"/>
      <c r="F180" s="34">
        <f>[1]FPG!F180+'[1]C.E.'!F180+[1]SAP!F180</f>
        <v>0</v>
      </c>
      <c r="G180" s="34">
        <f>[1]FPG!G180+'[1]C.E.'!G180+[1]SAP!G180</f>
        <v>0</v>
      </c>
      <c r="H180" s="34">
        <f>[1]FPG!H180+'[1]C.E.'!H180+[1]SAP!H180</f>
        <v>0</v>
      </c>
      <c r="I180" s="34">
        <f>[1]FPG!I180+'[1]C.E.'!I180+[1]SAP!I180</f>
        <v>0</v>
      </c>
      <c r="J180" s="34">
        <f>[1]FPG!J180+'[1]C.E.'!J180+[1]SAP!J180</f>
        <v>0</v>
      </c>
      <c r="K180" s="34">
        <f>[1]FPG!K180+'[1]C.E.'!K180+[1]SAP!K180</f>
        <v>0</v>
      </c>
      <c r="L180" s="34">
        <f>[1]FPG!L180+'[1]C.E.'!L180+[1]SAP!L180</f>
        <v>0</v>
      </c>
      <c r="M180" s="34">
        <f>[1]FPG!M180+'[1]C.E.'!M180+[1]SAP!M180</f>
        <v>0</v>
      </c>
      <c r="N180" s="34">
        <f>[1]FPG!N180+'[1]C.E.'!N180+[1]SAP!N180</f>
        <v>0</v>
      </c>
      <c r="O180" s="34">
        <f>[1]FPG!O180+'[1]C.E.'!O180+[1]SAP!O180</f>
        <v>0</v>
      </c>
      <c r="P180" s="34">
        <f>[1]FPG!P180+'[1]C.E.'!P180+[1]SAP!P180</f>
        <v>0</v>
      </c>
      <c r="Q180" s="34">
        <f>[1]FPG!Q180+'[1]C.E.'!Q180+[1]SAP!Q180</f>
        <v>0</v>
      </c>
      <c r="R180" s="27"/>
      <c r="S180" s="35">
        <f t="shared" si="22"/>
        <v>0</v>
      </c>
      <c r="T180" s="36">
        <f t="shared" si="21"/>
        <v>0</v>
      </c>
      <c r="V180" s="21">
        <f>S180-[1]FPG!S180-'[1]C.E.'!S180</f>
        <v>0</v>
      </c>
      <c r="W180" s="22"/>
    </row>
    <row r="181" spans="1:23" hidden="1" outlineLevel="1" x14ac:dyDescent="0.2">
      <c r="A181" s="9"/>
      <c r="B181" s="48"/>
      <c r="C181" s="31">
        <v>400126</v>
      </c>
      <c r="D181" s="32" t="s">
        <v>171</v>
      </c>
      <c r="E181" s="33"/>
      <c r="F181" s="34">
        <f>[1]FPG!F181+'[1]C.E.'!F181+[1]SAP!F181</f>
        <v>0</v>
      </c>
      <c r="G181" s="34">
        <f>[1]FPG!G181+'[1]C.E.'!G181+[1]SAP!G181</f>
        <v>0</v>
      </c>
      <c r="H181" s="34">
        <f>[1]FPG!H181+'[1]C.E.'!H181+[1]SAP!H181</f>
        <v>0</v>
      </c>
      <c r="I181" s="34">
        <f>[1]FPG!I181+'[1]C.E.'!I181+[1]SAP!I181</f>
        <v>0</v>
      </c>
      <c r="J181" s="34">
        <f>[1]FPG!J181+'[1]C.E.'!J181+[1]SAP!J181</f>
        <v>0</v>
      </c>
      <c r="K181" s="34">
        <f>[1]FPG!K181+'[1]C.E.'!K181+[1]SAP!K181</f>
        <v>0</v>
      </c>
      <c r="L181" s="34">
        <f>[1]FPG!L181+'[1]C.E.'!L181+[1]SAP!L181</f>
        <v>0</v>
      </c>
      <c r="M181" s="34">
        <f>[1]FPG!M181+'[1]C.E.'!M181+[1]SAP!M181</f>
        <v>0</v>
      </c>
      <c r="N181" s="34">
        <f>[1]FPG!N181+'[1]C.E.'!N181+[1]SAP!N181</f>
        <v>0</v>
      </c>
      <c r="O181" s="34">
        <f>[1]FPG!O181+'[1]C.E.'!O181+[1]SAP!O181</f>
        <v>0</v>
      </c>
      <c r="P181" s="34">
        <f>[1]FPG!P181+'[1]C.E.'!P181+[1]SAP!P181</f>
        <v>0</v>
      </c>
      <c r="Q181" s="34">
        <f>[1]FPG!Q181+'[1]C.E.'!Q181+[1]SAP!Q181</f>
        <v>0</v>
      </c>
      <c r="R181" s="27"/>
      <c r="S181" s="35">
        <f t="shared" si="22"/>
        <v>0</v>
      </c>
      <c r="T181" s="36">
        <f t="shared" si="21"/>
        <v>0</v>
      </c>
      <c r="V181" s="21">
        <f>S181-[1]FPG!S181-'[1]C.E.'!S181</f>
        <v>0</v>
      </c>
      <c r="W181" s="22"/>
    </row>
    <row r="182" spans="1:23" hidden="1" outlineLevel="1" x14ac:dyDescent="0.2">
      <c r="A182" s="9"/>
      <c r="B182" s="48"/>
      <c r="C182" s="31">
        <v>400127</v>
      </c>
      <c r="D182" s="32" t="s">
        <v>172</v>
      </c>
      <c r="E182" s="33"/>
      <c r="F182" s="34">
        <f>[1]FPG!F182+'[1]C.E.'!F182+[1]SAP!F182</f>
        <v>0</v>
      </c>
      <c r="G182" s="34">
        <f>[1]FPG!G182+'[1]C.E.'!G182+[1]SAP!G182</f>
        <v>0</v>
      </c>
      <c r="H182" s="34">
        <f>[1]FPG!H182+'[1]C.E.'!H182+[1]SAP!H182</f>
        <v>0</v>
      </c>
      <c r="I182" s="34">
        <f>[1]FPG!I182+'[1]C.E.'!I182+[1]SAP!I182</f>
        <v>0</v>
      </c>
      <c r="J182" s="34">
        <f>[1]FPG!J182+'[1]C.E.'!J182+[1]SAP!J182</f>
        <v>0</v>
      </c>
      <c r="K182" s="34">
        <f>[1]FPG!K182+'[1]C.E.'!K182+[1]SAP!K182</f>
        <v>0</v>
      </c>
      <c r="L182" s="34">
        <f>[1]FPG!L182+'[1]C.E.'!L182+[1]SAP!L182</f>
        <v>0</v>
      </c>
      <c r="M182" s="34">
        <f>[1]FPG!M182+'[1]C.E.'!M182+[1]SAP!M182</f>
        <v>0</v>
      </c>
      <c r="N182" s="34">
        <f>[1]FPG!N182+'[1]C.E.'!N182+[1]SAP!N182</f>
        <v>0</v>
      </c>
      <c r="O182" s="34">
        <f>[1]FPG!O182+'[1]C.E.'!O182+[1]SAP!O182</f>
        <v>0</v>
      </c>
      <c r="P182" s="34">
        <f>[1]FPG!P182+'[1]C.E.'!P182+[1]SAP!P182</f>
        <v>0</v>
      </c>
      <c r="Q182" s="34">
        <f>[1]FPG!Q182+'[1]C.E.'!Q182+[1]SAP!Q182</f>
        <v>0</v>
      </c>
      <c r="R182" s="27"/>
      <c r="S182" s="35">
        <f t="shared" si="22"/>
        <v>0</v>
      </c>
      <c r="T182" s="36">
        <f t="shared" si="21"/>
        <v>0</v>
      </c>
      <c r="V182" s="21">
        <f>S182-[1]FPG!S182-'[1]C.E.'!S182</f>
        <v>0</v>
      </c>
      <c r="W182" s="22"/>
    </row>
    <row r="183" spans="1:23" hidden="1" outlineLevel="1" x14ac:dyDescent="0.2">
      <c r="A183" s="9"/>
      <c r="B183" s="48"/>
      <c r="C183" s="31">
        <v>400128</v>
      </c>
      <c r="D183" s="32" t="s">
        <v>173</v>
      </c>
      <c r="E183" s="33"/>
      <c r="F183" s="34">
        <f>[1]FPG!F183+'[1]C.E.'!F183+[1]SAP!F183</f>
        <v>0</v>
      </c>
      <c r="G183" s="34">
        <f>[1]FPG!G183+'[1]C.E.'!G183+[1]SAP!G183</f>
        <v>0</v>
      </c>
      <c r="H183" s="34">
        <f>[1]FPG!H183+'[1]C.E.'!H183+[1]SAP!H183</f>
        <v>0</v>
      </c>
      <c r="I183" s="34">
        <f>[1]FPG!I183+'[1]C.E.'!I183+[1]SAP!I183</f>
        <v>0</v>
      </c>
      <c r="J183" s="34">
        <f>[1]FPG!J183+'[1]C.E.'!J183+[1]SAP!J183</f>
        <v>0</v>
      </c>
      <c r="K183" s="34">
        <f>[1]FPG!K183+'[1]C.E.'!K183+[1]SAP!K183</f>
        <v>0</v>
      </c>
      <c r="L183" s="34">
        <f>[1]FPG!L183+'[1]C.E.'!L183+[1]SAP!L183</f>
        <v>0</v>
      </c>
      <c r="M183" s="34">
        <f>[1]FPG!M183+'[1]C.E.'!M183+[1]SAP!M183</f>
        <v>0</v>
      </c>
      <c r="N183" s="34">
        <f>[1]FPG!N183+'[1]C.E.'!N183+[1]SAP!N183</f>
        <v>0</v>
      </c>
      <c r="O183" s="34">
        <f>[1]FPG!O183+'[1]C.E.'!O183+[1]SAP!O183</f>
        <v>0</v>
      </c>
      <c r="P183" s="34">
        <f>[1]FPG!P183+'[1]C.E.'!P183+[1]SAP!P183</f>
        <v>0</v>
      </c>
      <c r="Q183" s="34">
        <f>[1]FPG!Q183+'[1]C.E.'!Q183+[1]SAP!Q183</f>
        <v>0</v>
      </c>
      <c r="R183" s="27"/>
      <c r="S183" s="35">
        <f t="shared" si="22"/>
        <v>0</v>
      </c>
      <c r="T183" s="36">
        <f t="shared" si="21"/>
        <v>0</v>
      </c>
      <c r="V183" s="21">
        <f>S183-[1]FPG!S183-'[1]C.E.'!S183</f>
        <v>0</v>
      </c>
      <c r="W183" s="22"/>
    </row>
    <row r="184" spans="1:23" hidden="1" outlineLevel="1" x14ac:dyDescent="0.2">
      <c r="A184" s="9"/>
      <c r="B184" s="48"/>
      <c r="C184" s="31">
        <v>400129</v>
      </c>
      <c r="D184" s="32" t="s">
        <v>174</v>
      </c>
      <c r="E184" s="33"/>
      <c r="F184" s="34">
        <f>[1]FPG!F184+'[1]C.E.'!F184+[1]SAP!F184</f>
        <v>0</v>
      </c>
      <c r="G184" s="34">
        <f>[1]FPG!G184+'[1]C.E.'!G184+[1]SAP!G184</f>
        <v>0</v>
      </c>
      <c r="H184" s="34">
        <f>[1]FPG!H184+'[1]C.E.'!H184+[1]SAP!H184</f>
        <v>0</v>
      </c>
      <c r="I184" s="34">
        <f>[1]FPG!I184+'[1]C.E.'!I184+[1]SAP!I184</f>
        <v>0</v>
      </c>
      <c r="J184" s="34">
        <f>[1]FPG!J184+'[1]C.E.'!J184+[1]SAP!J184</f>
        <v>0</v>
      </c>
      <c r="K184" s="34">
        <f>[1]FPG!K184+'[1]C.E.'!K184+[1]SAP!K184</f>
        <v>0</v>
      </c>
      <c r="L184" s="34">
        <f>[1]FPG!L184+'[1]C.E.'!L184+[1]SAP!L184</f>
        <v>0</v>
      </c>
      <c r="M184" s="34">
        <f>[1]FPG!M184+'[1]C.E.'!M184+[1]SAP!M184</f>
        <v>0</v>
      </c>
      <c r="N184" s="34">
        <f>[1]FPG!N184+'[1]C.E.'!N184+[1]SAP!N184</f>
        <v>0</v>
      </c>
      <c r="O184" s="34">
        <f>[1]FPG!O184+'[1]C.E.'!O184+[1]SAP!O184</f>
        <v>0</v>
      </c>
      <c r="P184" s="34">
        <f>[1]FPG!P184+'[1]C.E.'!P184+[1]SAP!P184</f>
        <v>0</v>
      </c>
      <c r="Q184" s="34">
        <f>[1]FPG!Q184+'[1]C.E.'!Q184+[1]SAP!Q184</f>
        <v>0</v>
      </c>
      <c r="R184" s="27"/>
      <c r="S184" s="35">
        <f t="shared" si="22"/>
        <v>0</v>
      </c>
      <c r="T184" s="36">
        <f t="shared" si="21"/>
        <v>0</v>
      </c>
      <c r="V184" s="21">
        <f>S184-[1]FPG!S184-'[1]C.E.'!S184</f>
        <v>0</v>
      </c>
      <c r="W184" s="22"/>
    </row>
    <row r="185" spans="1:23" hidden="1" outlineLevel="1" x14ac:dyDescent="0.2">
      <c r="A185" s="9"/>
      <c r="B185" s="48"/>
      <c r="C185" s="31">
        <v>400130</v>
      </c>
      <c r="D185" s="32" t="s">
        <v>175</v>
      </c>
      <c r="E185" s="33"/>
      <c r="F185" s="34">
        <f>[1]FPG!F185+'[1]C.E.'!F185+[1]SAP!F185</f>
        <v>0</v>
      </c>
      <c r="G185" s="34">
        <f>[1]FPG!G185+'[1]C.E.'!G185+[1]SAP!G185</f>
        <v>0</v>
      </c>
      <c r="H185" s="34">
        <f>[1]FPG!H185+'[1]C.E.'!H185+[1]SAP!H185</f>
        <v>0</v>
      </c>
      <c r="I185" s="34">
        <f>[1]FPG!I185+'[1]C.E.'!I185+[1]SAP!I185</f>
        <v>0</v>
      </c>
      <c r="J185" s="34">
        <f>[1]FPG!J185+'[1]C.E.'!J185+[1]SAP!J185</f>
        <v>0</v>
      </c>
      <c r="K185" s="34">
        <f>[1]FPG!K185+'[1]C.E.'!K185+[1]SAP!K185</f>
        <v>0</v>
      </c>
      <c r="L185" s="34">
        <f>[1]FPG!L185+'[1]C.E.'!L185+[1]SAP!L185</f>
        <v>0</v>
      </c>
      <c r="M185" s="34">
        <f>[1]FPG!M185+'[1]C.E.'!M185+[1]SAP!M185</f>
        <v>0</v>
      </c>
      <c r="N185" s="34">
        <f>[1]FPG!N185+'[1]C.E.'!N185+[1]SAP!N185</f>
        <v>0</v>
      </c>
      <c r="O185" s="34">
        <f>[1]FPG!O185+'[1]C.E.'!O185+[1]SAP!O185</f>
        <v>0</v>
      </c>
      <c r="P185" s="34">
        <f>[1]FPG!P185+'[1]C.E.'!P185+[1]SAP!P185</f>
        <v>0</v>
      </c>
      <c r="Q185" s="34">
        <f>[1]FPG!Q185+'[1]C.E.'!Q185+[1]SAP!Q185</f>
        <v>0</v>
      </c>
      <c r="R185" s="27"/>
      <c r="S185" s="35">
        <f t="shared" si="22"/>
        <v>0</v>
      </c>
      <c r="T185" s="36">
        <f t="shared" si="21"/>
        <v>0</v>
      </c>
      <c r="V185" s="21">
        <f>S185-[1]FPG!S185-'[1]C.E.'!S185</f>
        <v>0</v>
      </c>
      <c r="W185" s="22"/>
    </row>
    <row r="186" spans="1:23" hidden="1" outlineLevel="1" x14ac:dyDescent="0.2">
      <c r="A186" s="9"/>
      <c r="B186" s="48"/>
      <c r="C186" s="31">
        <v>400131</v>
      </c>
      <c r="D186" s="32" t="s">
        <v>176</v>
      </c>
      <c r="E186" s="33"/>
      <c r="F186" s="34">
        <f>[1]FPG!F186+'[1]C.E.'!F186+[1]SAP!F186</f>
        <v>0</v>
      </c>
      <c r="G186" s="34">
        <f>[1]FPG!G186+'[1]C.E.'!G186+[1]SAP!G186</f>
        <v>0</v>
      </c>
      <c r="H186" s="34">
        <f>[1]FPG!H186+'[1]C.E.'!H186+[1]SAP!H186</f>
        <v>0</v>
      </c>
      <c r="I186" s="34">
        <f>[1]FPG!I186+'[1]C.E.'!I186+[1]SAP!I186</f>
        <v>0</v>
      </c>
      <c r="J186" s="34">
        <f>[1]FPG!J186+'[1]C.E.'!J186+[1]SAP!J186</f>
        <v>0</v>
      </c>
      <c r="K186" s="34">
        <f>[1]FPG!K186+'[1]C.E.'!K186+[1]SAP!K186</f>
        <v>0</v>
      </c>
      <c r="L186" s="34">
        <f>[1]FPG!L186+'[1]C.E.'!L186+[1]SAP!L186</f>
        <v>0</v>
      </c>
      <c r="M186" s="34">
        <f>[1]FPG!M186+'[1]C.E.'!M186+[1]SAP!M186</f>
        <v>0</v>
      </c>
      <c r="N186" s="34">
        <f>[1]FPG!N186+'[1]C.E.'!N186+[1]SAP!N186</f>
        <v>0</v>
      </c>
      <c r="O186" s="34">
        <f>[1]FPG!O186+'[1]C.E.'!O186+[1]SAP!O186</f>
        <v>0</v>
      </c>
      <c r="P186" s="34">
        <f>[1]FPG!P186+'[1]C.E.'!P186+[1]SAP!P186</f>
        <v>0</v>
      </c>
      <c r="Q186" s="34">
        <f>[1]FPG!Q186+'[1]C.E.'!Q186+[1]SAP!Q186</f>
        <v>0</v>
      </c>
      <c r="R186" s="27"/>
      <c r="S186" s="35">
        <f t="shared" si="22"/>
        <v>0</v>
      </c>
      <c r="T186" s="36">
        <f t="shared" si="21"/>
        <v>0</v>
      </c>
      <c r="V186" s="21">
        <f>S186-[1]FPG!S186-'[1]C.E.'!S186</f>
        <v>0</v>
      </c>
      <c r="W186" s="22"/>
    </row>
    <row r="187" spans="1:23" hidden="1" outlineLevel="1" x14ac:dyDescent="0.2">
      <c r="A187" s="9"/>
      <c r="B187" s="48"/>
      <c r="C187" s="31">
        <v>400132</v>
      </c>
      <c r="D187" s="32" t="s">
        <v>177</v>
      </c>
      <c r="E187" s="33"/>
      <c r="F187" s="34">
        <f>[1]FPG!F187+'[1]C.E.'!F187+[1]SAP!F187</f>
        <v>0</v>
      </c>
      <c r="G187" s="34">
        <f>[1]FPG!G187+'[1]C.E.'!G187+[1]SAP!G187</f>
        <v>0</v>
      </c>
      <c r="H187" s="34">
        <f>[1]FPG!H187+'[1]C.E.'!H187+[1]SAP!H187</f>
        <v>0</v>
      </c>
      <c r="I187" s="34">
        <f>[1]FPG!I187+'[1]C.E.'!I187+[1]SAP!I187</f>
        <v>0</v>
      </c>
      <c r="J187" s="34">
        <f>[1]FPG!J187+'[1]C.E.'!J187+[1]SAP!J187</f>
        <v>0</v>
      </c>
      <c r="K187" s="34">
        <f>[1]FPG!K187+'[1]C.E.'!K187+[1]SAP!K187</f>
        <v>0</v>
      </c>
      <c r="L187" s="34">
        <f>[1]FPG!L187+'[1]C.E.'!L187+[1]SAP!L187</f>
        <v>0</v>
      </c>
      <c r="M187" s="34">
        <f>[1]FPG!M187+'[1]C.E.'!M187+[1]SAP!M187</f>
        <v>0</v>
      </c>
      <c r="N187" s="34">
        <f>[1]FPG!N187+'[1]C.E.'!N187+[1]SAP!N187</f>
        <v>0</v>
      </c>
      <c r="O187" s="34">
        <f>[1]FPG!O187+'[1]C.E.'!O187+[1]SAP!O187</f>
        <v>0</v>
      </c>
      <c r="P187" s="34">
        <f>[1]FPG!P187+'[1]C.E.'!P187+[1]SAP!P187</f>
        <v>0</v>
      </c>
      <c r="Q187" s="34">
        <f>[1]FPG!Q187+'[1]C.E.'!Q187+[1]SAP!Q187</f>
        <v>0</v>
      </c>
      <c r="R187" s="27"/>
      <c r="S187" s="35">
        <f t="shared" si="22"/>
        <v>0</v>
      </c>
      <c r="T187" s="36">
        <f t="shared" si="21"/>
        <v>0</v>
      </c>
      <c r="V187" s="21">
        <f>S187-[1]FPG!S187-'[1]C.E.'!S187</f>
        <v>0</v>
      </c>
      <c r="W187" s="22"/>
    </row>
    <row r="188" spans="1:23" hidden="1" outlineLevel="1" x14ac:dyDescent="0.2">
      <c r="A188" s="9"/>
      <c r="B188" s="48"/>
      <c r="C188" s="31">
        <v>400133</v>
      </c>
      <c r="D188" s="32" t="s">
        <v>178</v>
      </c>
      <c r="E188" s="33"/>
      <c r="F188" s="34">
        <f>[1]FPG!F188+'[1]C.E.'!F188+[1]SAP!F188</f>
        <v>0</v>
      </c>
      <c r="G188" s="34">
        <f>[1]FPG!G188+'[1]C.E.'!G188+[1]SAP!G188</f>
        <v>0</v>
      </c>
      <c r="H188" s="34">
        <f>[1]FPG!H188+'[1]C.E.'!H188+[1]SAP!H188</f>
        <v>0</v>
      </c>
      <c r="I188" s="34">
        <f>[1]FPG!I188+'[1]C.E.'!I188+[1]SAP!I188</f>
        <v>0</v>
      </c>
      <c r="J188" s="34">
        <f>[1]FPG!J188+'[1]C.E.'!J188+[1]SAP!J188</f>
        <v>0</v>
      </c>
      <c r="K188" s="34">
        <f>[1]FPG!K188+'[1]C.E.'!K188+[1]SAP!K188</f>
        <v>0</v>
      </c>
      <c r="L188" s="34">
        <f>[1]FPG!L188+'[1]C.E.'!L188+[1]SAP!L188</f>
        <v>0</v>
      </c>
      <c r="M188" s="34">
        <f>[1]FPG!M188+'[1]C.E.'!M188+[1]SAP!M188</f>
        <v>0</v>
      </c>
      <c r="N188" s="34">
        <f>[1]FPG!N188+'[1]C.E.'!N188+[1]SAP!N188</f>
        <v>0</v>
      </c>
      <c r="O188" s="34">
        <f>[1]FPG!O188+'[1]C.E.'!O188+[1]SAP!O188</f>
        <v>0</v>
      </c>
      <c r="P188" s="34">
        <f>[1]FPG!P188+'[1]C.E.'!P188+[1]SAP!P188</f>
        <v>0</v>
      </c>
      <c r="Q188" s="34">
        <f>[1]FPG!Q188+'[1]C.E.'!Q188+[1]SAP!Q188</f>
        <v>0</v>
      </c>
      <c r="R188" s="27"/>
      <c r="S188" s="35">
        <f t="shared" si="22"/>
        <v>0</v>
      </c>
      <c r="T188" s="36">
        <f t="shared" si="21"/>
        <v>0</v>
      </c>
      <c r="V188" s="21">
        <f>S188-[1]FPG!S188-'[1]C.E.'!S188</f>
        <v>0</v>
      </c>
      <c r="W188" s="22"/>
    </row>
    <row r="189" spans="1:23" hidden="1" outlineLevel="1" x14ac:dyDescent="0.2">
      <c r="A189" s="9"/>
      <c r="B189" s="48"/>
      <c r="C189" s="31">
        <v>400134</v>
      </c>
      <c r="D189" s="32" t="s">
        <v>179</v>
      </c>
      <c r="E189" s="33"/>
      <c r="F189" s="34">
        <f>[1]FPG!F189+'[1]C.E.'!F189+[1]SAP!F189</f>
        <v>0</v>
      </c>
      <c r="G189" s="34">
        <f>[1]FPG!G189+'[1]C.E.'!G189+[1]SAP!G189</f>
        <v>0</v>
      </c>
      <c r="H189" s="34">
        <f>[1]FPG!H189+'[1]C.E.'!H189+[1]SAP!H189</f>
        <v>0</v>
      </c>
      <c r="I189" s="34">
        <f>[1]FPG!I189+'[1]C.E.'!I189+[1]SAP!I189</f>
        <v>0</v>
      </c>
      <c r="J189" s="34">
        <f>[1]FPG!J189+'[1]C.E.'!J189+[1]SAP!J189</f>
        <v>0</v>
      </c>
      <c r="K189" s="34">
        <f>[1]FPG!K189+'[1]C.E.'!K189+[1]SAP!K189</f>
        <v>0</v>
      </c>
      <c r="L189" s="34">
        <f>[1]FPG!L189+'[1]C.E.'!L189+[1]SAP!L189</f>
        <v>0</v>
      </c>
      <c r="M189" s="34">
        <f>[1]FPG!M189+'[1]C.E.'!M189+[1]SAP!M189</f>
        <v>0</v>
      </c>
      <c r="N189" s="34">
        <f>[1]FPG!N189+'[1]C.E.'!N189+[1]SAP!N189</f>
        <v>0</v>
      </c>
      <c r="O189" s="34">
        <f>[1]FPG!O189+'[1]C.E.'!O189+[1]SAP!O189</f>
        <v>0</v>
      </c>
      <c r="P189" s="34">
        <f>[1]FPG!P189+'[1]C.E.'!P189+[1]SAP!P189</f>
        <v>0</v>
      </c>
      <c r="Q189" s="34">
        <f>[1]FPG!Q189+'[1]C.E.'!Q189+[1]SAP!Q189</f>
        <v>0</v>
      </c>
      <c r="R189" s="27"/>
      <c r="S189" s="35">
        <f t="shared" si="22"/>
        <v>0</v>
      </c>
      <c r="T189" s="36">
        <f t="shared" si="21"/>
        <v>0</v>
      </c>
      <c r="V189" s="21">
        <f>S189-[1]FPG!S189-'[1]C.E.'!S189</f>
        <v>0</v>
      </c>
      <c r="W189" s="22"/>
    </row>
    <row r="190" spans="1:23" hidden="1" outlineLevel="1" x14ac:dyDescent="0.2">
      <c r="A190" s="9"/>
      <c r="B190" s="48"/>
      <c r="C190" s="31">
        <v>400135</v>
      </c>
      <c r="D190" s="32" t="s">
        <v>180</v>
      </c>
      <c r="E190" s="33"/>
      <c r="F190" s="34">
        <f>[1]FPG!F190+'[1]C.E.'!F190+[1]SAP!F190</f>
        <v>0</v>
      </c>
      <c r="G190" s="34">
        <f>[1]FPG!G190+'[1]C.E.'!G190+[1]SAP!G190</f>
        <v>0</v>
      </c>
      <c r="H190" s="34">
        <f>[1]FPG!H190+'[1]C.E.'!H190+[1]SAP!H190</f>
        <v>0</v>
      </c>
      <c r="I190" s="34">
        <f>[1]FPG!I190+'[1]C.E.'!I190+[1]SAP!I190</f>
        <v>0</v>
      </c>
      <c r="J190" s="34">
        <f>[1]FPG!J190+'[1]C.E.'!J190+[1]SAP!J190</f>
        <v>0</v>
      </c>
      <c r="K190" s="34">
        <f>[1]FPG!K190+'[1]C.E.'!K190+[1]SAP!K190</f>
        <v>0</v>
      </c>
      <c r="L190" s="34">
        <f>[1]FPG!L190+'[1]C.E.'!L190+[1]SAP!L190</f>
        <v>0</v>
      </c>
      <c r="M190" s="34">
        <f>[1]FPG!M190+'[1]C.E.'!M190+[1]SAP!M190</f>
        <v>0</v>
      </c>
      <c r="N190" s="34">
        <f>[1]FPG!N190+'[1]C.E.'!N190+[1]SAP!N190</f>
        <v>0</v>
      </c>
      <c r="O190" s="34">
        <f>[1]FPG!O190+'[1]C.E.'!O190+[1]SAP!O190</f>
        <v>0</v>
      </c>
      <c r="P190" s="34">
        <f>[1]FPG!P190+'[1]C.E.'!P190+[1]SAP!P190</f>
        <v>0</v>
      </c>
      <c r="Q190" s="34">
        <f>[1]FPG!Q190+'[1]C.E.'!Q190+[1]SAP!Q190</f>
        <v>0</v>
      </c>
      <c r="R190" s="27"/>
      <c r="S190" s="35">
        <f t="shared" si="22"/>
        <v>0</v>
      </c>
      <c r="T190" s="36">
        <f t="shared" si="21"/>
        <v>0</v>
      </c>
      <c r="V190" s="21">
        <f>S190-[1]FPG!S190-'[1]C.E.'!S190</f>
        <v>0</v>
      </c>
      <c r="W190" s="22"/>
    </row>
    <row r="191" spans="1:23" hidden="1" outlineLevel="1" x14ac:dyDescent="0.2">
      <c r="A191" s="9"/>
      <c r="B191" s="48"/>
      <c r="C191" s="31">
        <v>400136</v>
      </c>
      <c r="D191" s="32" t="s">
        <v>181</v>
      </c>
      <c r="E191" s="33"/>
      <c r="F191" s="34">
        <f>[1]FPG!F191+'[1]C.E.'!F191+[1]SAP!F191</f>
        <v>0</v>
      </c>
      <c r="G191" s="34">
        <f>[1]FPG!G191+'[1]C.E.'!G191+[1]SAP!G191</f>
        <v>0</v>
      </c>
      <c r="H191" s="34">
        <f>[1]FPG!H191+'[1]C.E.'!H191+[1]SAP!H191</f>
        <v>0</v>
      </c>
      <c r="I191" s="34">
        <f>[1]FPG!I191+'[1]C.E.'!I191+[1]SAP!I191</f>
        <v>0</v>
      </c>
      <c r="J191" s="34">
        <f>[1]FPG!J191+'[1]C.E.'!J191+[1]SAP!J191</f>
        <v>0</v>
      </c>
      <c r="K191" s="34">
        <f>[1]FPG!K191+'[1]C.E.'!K191+[1]SAP!K191</f>
        <v>0</v>
      </c>
      <c r="L191" s="34">
        <f>[1]FPG!L191+'[1]C.E.'!L191+[1]SAP!L191</f>
        <v>0</v>
      </c>
      <c r="M191" s="34">
        <f>[1]FPG!M191+'[1]C.E.'!M191+[1]SAP!M191</f>
        <v>0</v>
      </c>
      <c r="N191" s="34">
        <f>[1]FPG!N191+'[1]C.E.'!N191+[1]SAP!N191</f>
        <v>0</v>
      </c>
      <c r="O191" s="34">
        <f>[1]FPG!O191+'[1]C.E.'!O191+[1]SAP!O191</f>
        <v>0</v>
      </c>
      <c r="P191" s="34">
        <f>[1]FPG!P191+'[1]C.E.'!P191+[1]SAP!P191</f>
        <v>0</v>
      </c>
      <c r="Q191" s="34">
        <f>[1]FPG!Q191+'[1]C.E.'!Q191+[1]SAP!Q191</f>
        <v>0</v>
      </c>
      <c r="R191" s="27"/>
      <c r="S191" s="35">
        <f t="shared" si="22"/>
        <v>0</v>
      </c>
      <c r="T191" s="36">
        <f t="shared" si="21"/>
        <v>0</v>
      </c>
      <c r="V191" s="21">
        <f>S191-[1]FPG!S191-'[1]C.E.'!S191</f>
        <v>0</v>
      </c>
      <c r="W191" s="22"/>
    </row>
    <row r="192" spans="1:23" hidden="1" outlineLevel="1" x14ac:dyDescent="0.2">
      <c r="A192" s="9"/>
      <c r="B192" s="48"/>
      <c r="C192" s="31">
        <v>400137</v>
      </c>
      <c r="D192" s="32" t="s">
        <v>182</v>
      </c>
      <c r="E192" s="33"/>
      <c r="F192" s="34">
        <f>[1]FPG!F192+'[1]C.E.'!F192+[1]SAP!F192</f>
        <v>0</v>
      </c>
      <c r="G192" s="34">
        <f>[1]FPG!G192+'[1]C.E.'!G192+[1]SAP!G192</f>
        <v>0</v>
      </c>
      <c r="H192" s="34">
        <f>[1]FPG!H192+'[1]C.E.'!H192+[1]SAP!H192</f>
        <v>0</v>
      </c>
      <c r="I192" s="34">
        <f>[1]FPG!I192+'[1]C.E.'!I192+[1]SAP!I192</f>
        <v>0</v>
      </c>
      <c r="J192" s="34">
        <f>[1]FPG!J192+'[1]C.E.'!J192+[1]SAP!J192</f>
        <v>0</v>
      </c>
      <c r="K192" s="34">
        <f>[1]FPG!K192+'[1]C.E.'!K192+[1]SAP!K192</f>
        <v>0</v>
      </c>
      <c r="L192" s="34">
        <f>[1]FPG!L192+'[1]C.E.'!L192+[1]SAP!L192</f>
        <v>0</v>
      </c>
      <c r="M192" s="34">
        <f>[1]FPG!M192+'[1]C.E.'!M192+[1]SAP!M192</f>
        <v>0</v>
      </c>
      <c r="N192" s="34">
        <f>[1]FPG!N192+'[1]C.E.'!N192+[1]SAP!N192</f>
        <v>0</v>
      </c>
      <c r="O192" s="34">
        <f>[1]FPG!O192+'[1]C.E.'!O192+[1]SAP!O192</f>
        <v>0</v>
      </c>
      <c r="P192" s="34">
        <f>[1]FPG!P192+'[1]C.E.'!P192+[1]SAP!P192</f>
        <v>0</v>
      </c>
      <c r="Q192" s="34">
        <f>[1]FPG!Q192+'[1]C.E.'!Q192+[1]SAP!Q192</f>
        <v>0</v>
      </c>
      <c r="R192" s="27"/>
      <c r="S192" s="35">
        <f t="shared" si="22"/>
        <v>0</v>
      </c>
      <c r="T192" s="36">
        <f t="shared" si="21"/>
        <v>0</v>
      </c>
      <c r="V192" s="21">
        <f>S192-[1]FPG!S192-'[1]C.E.'!S192</f>
        <v>0</v>
      </c>
      <c r="W192" s="22"/>
    </row>
    <row r="193" spans="1:23" hidden="1" outlineLevel="1" x14ac:dyDescent="0.2">
      <c r="A193" s="9"/>
      <c r="B193" s="48"/>
      <c r="C193" s="31">
        <v>400138</v>
      </c>
      <c r="D193" s="32" t="s">
        <v>183</v>
      </c>
      <c r="E193" s="33"/>
      <c r="F193" s="34">
        <f>[1]FPG!F193+'[1]C.E.'!F193+[1]SAP!F193</f>
        <v>0</v>
      </c>
      <c r="G193" s="34">
        <f>[1]FPG!G193+'[1]C.E.'!G193+[1]SAP!G193</f>
        <v>0</v>
      </c>
      <c r="H193" s="34">
        <f>[1]FPG!H193+'[1]C.E.'!H193+[1]SAP!H193</f>
        <v>0</v>
      </c>
      <c r="I193" s="34">
        <f>[1]FPG!I193+'[1]C.E.'!I193+[1]SAP!I193</f>
        <v>0</v>
      </c>
      <c r="J193" s="34">
        <f>[1]FPG!J193+'[1]C.E.'!J193+[1]SAP!J193</f>
        <v>0</v>
      </c>
      <c r="K193" s="34">
        <f>[1]FPG!K193+'[1]C.E.'!K193+[1]SAP!K193</f>
        <v>0</v>
      </c>
      <c r="L193" s="34">
        <f>[1]FPG!L193+'[1]C.E.'!L193+[1]SAP!L193</f>
        <v>0</v>
      </c>
      <c r="M193" s="34">
        <f>[1]FPG!M193+'[1]C.E.'!M193+[1]SAP!M193</f>
        <v>0</v>
      </c>
      <c r="N193" s="34">
        <f>[1]FPG!N193+'[1]C.E.'!N193+[1]SAP!N193</f>
        <v>0</v>
      </c>
      <c r="O193" s="34">
        <f>[1]FPG!O193+'[1]C.E.'!O193+[1]SAP!O193</f>
        <v>0</v>
      </c>
      <c r="P193" s="34">
        <f>[1]FPG!P193+'[1]C.E.'!P193+[1]SAP!P193</f>
        <v>0</v>
      </c>
      <c r="Q193" s="34">
        <f>[1]FPG!Q193+'[1]C.E.'!Q193+[1]SAP!Q193</f>
        <v>0</v>
      </c>
      <c r="R193" s="27"/>
      <c r="S193" s="35">
        <f t="shared" si="22"/>
        <v>0</v>
      </c>
      <c r="T193" s="36">
        <f t="shared" si="21"/>
        <v>0</v>
      </c>
      <c r="V193" s="21">
        <f>S193-[1]FPG!S193-'[1]C.E.'!S193</f>
        <v>0</v>
      </c>
      <c r="W193" s="22"/>
    </row>
    <row r="194" spans="1:23" hidden="1" outlineLevel="1" x14ac:dyDescent="0.2">
      <c r="A194" s="9"/>
      <c r="B194" s="48"/>
      <c r="C194" s="31">
        <v>400139</v>
      </c>
      <c r="D194" s="32" t="s">
        <v>184</v>
      </c>
      <c r="E194" s="33"/>
      <c r="F194" s="34">
        <f>[1]FPG!F194+'[1]C.E.'!F194+[1]SAP!F194</f>
        <v>0</v>
      </c>
      <c r="G194" s="34">
        <f>[1]FPG!G194+'[1]C.E.'!G194+[1]SAP!G194</f>
        <v>0</v>
      </c>
      <c r="H194" s="34">
        <f>[1]FPG!H194+'[1]C.E.'!H194+[1]SAP!H194</f>
        <v>0</v>
      </c>
      <c r="I194" s="34">
        <f>[1]FPG!I194+'[1]C.E.'!I194+[1]SAP!I194</f>
        <v>0</v>
      </c>
      <c r="J194" s="34">
        <f>[1]FPG!J194+'[1]C.E.'!J194+[1]SAP!J194</f>
        <v>0</v>
      </c>
      <c r="K194" s="34">
        <f>[1]FPG!K194+'[1]C.E.'!K194+[1]SAP!K194</f>
        <v>0</v>
      </c>
      <c r="L194" s="34">
        <f>[1]FPG!L194+'[1]C.E.'!L194+[1]SAP!L194</f>
        <v>0</v>
      </c>
      <c r="M194" s="34">
        <f>[1]FPG!M194+'[1]C.E.'!M194+[1]SAP!M194</f>
        <v>0</v>
      </c>
      <c r="N194" s="34">
        <f>[1]FPG!N194+'[1]C.E.'!N194+[1]SAP!N194</f>
        <v>0</v>
      </c>
      <c r="O194" s="34">
        <f>[1]FPG!O194+'[1]C.E.'!O194+[1]SAP!O194</f>
        <v>0</v>
      </c>
      <c r="P194" s="34">
        <f>[1]FPG!P194+'[1]C.E.'!P194+[1]SAP!P194</f>
        <v>0</v>
      </c>
      <c r="Q194" s="34">
        <f>[1]FPG!Q194+'[1]C.E.'!Q194+[1]SAP!Q194</f>
        <v>0</v>
      </c>
      <c r="R194" s="27"/>
      <c r="S194" s="35">
        <f t="shared" si="22"/>
        <v>0</v>
      </c>
      <c r="T194" s="36">
        <f t="shared" si="21"/>
        <v>0</v>
      </c>
      <c r="V194" s="21">
        <f>S194-[1]FPG!S194-'[1]C.E.'!S194</f>
        <v>0</v>
      </c>
      <c r="W194" s="22"/>
    </row>
    <row r="195" spans="1:23" hidden="1" outlineLevel="1" x14ac:dyDescent="0.2">
      <c r="A195" s="9"/>
      <c r="B195" s="48"/>
      <c r="C195" s="31">
        <v>400140</v>
      </c>
      <c r="D195" s="32" t="s">
        <v>185</v>
      </c>
      <c r="E195" s="33"/>
      <c r="F195" s="34">
        <f>[1]FPG!F195+'[1]C.E.'!F195+[1]SAP!F195</f>
        <v>0</v>
      </c>
      <c r="G195" s="34">
        <f>[1]FPG!G195+'[1]C.E.'!G195+[1]SAP!G195</f>
        <v>0</v>
      </c>
      <c r="H195" s="34">
        <f>[1]FPG!H195+'[1]C.E.'!H195+[1]SAP!H195</f>
        <v>0</v>
      </c>
      <c r="I195" s="34">
        <f>[1]FPG!I195+'[1]C.E.'!I195+[1]SAP!I195</f>
        <v>0</v>
      </c>
      <c r="J195" s="34">
        <f>[1]FPG!J195+'[1]C.E.'!J195+[1]SAP!J195</f>
        <v>0</v>
      </c>
      <c r="K195" s="34">
        <f>[1]FPG!K195+'[1]C.E.'!K195+[1]SAP!K195</f>
        <v>0</v>
      </c>
      <c r="L195" s="34">
        <f>[1]FPG!L195+'[1]C.E.'!L195+[1]SAP!L195</f>
        <v>0</v>
      </c>
      <c r="M195" s="34">
        <f>[1]FPG!M195+'[1]C.E.'!M195+[1]SAP!M195</f>
        <v>0</v>
      </c>
      <c r="N195" s="34">
        <f>[1]FPG!N195+'[1]C.E.'!N195+[1]SAP!N195</f>
        <v>0</v>
      </c>
      <c r="O195" s="34">
        <f>[1]FPG!O195+'[1]C.E.'!O195+[1]SAP!O195</f>
        <v>0</v>
      </c>
      <c r="P195" s="34">
        <f>[1]FPG!P195+'[1]C.E.'!P195+[1]SAP!P195</f>
        <v>0</v>
      </c>
      <c r="Q195" s="34">
        <f>[1]FPG!Q195+'[1]C.E.'!Q195+[1]SAP!Q195</f>
        <v>0</v>
      </c>
      <c r="R195" s="27"/>
      <c r="S195" s="35">
        <f t="shared" si="22"/>
        <v>0</v>
      </c>
      <c r="T195" s="36">
        <f t="shared" si="21"/>
        <v>0</v>
      </c>
      <c r="V195" s="21">
        <f>S195-[1]FPG!S195-'[1]C.E.'!S195</f>
        <v>0</v>
      </c>
      <c r="W195" s="22"/>
    </row>
    <row r="196" spans="1:23" hidden="1" outlineLevel="1" x14ac:dyDescent="0.2">
      <c r="A196" s="9"/>
      <c r="B196" s="48"/>
      <c r="C196" s="31">
        <v>400141</v>
      </c>
      <c r="D196" s="32" t="s">
        <v>186</v>
      </c>
      <c r="E196" s="33"/>
      <c r="F196" s="34">
        <f>[1]FPG!F196+'[1]C.E.'!F196+[1]SAP!F196</f>
        <v>0</v>
      </c>
      <c r="G196" s="34">
        <f>[1]FPG!G196+'[1]C.E.'!G196+[1]SAP!G196</f>
        <v>0</v>
      </c>
      <c r="H196" s="34">
        <f>[1]FPG!H196+'[1]C.E.'!H196+[1]SAP!H196</f>
        <v>0</v>
      </c>
      <c r="I196" s="34">
        <f>[1]FPG!I196+'[1]C.E.'!I196+[1]SAP!I196</f>
        <v>0</v>
      </c>
      <c r="J196" s="34">
        <f>[1]FPG!J196+'[1]C.E.'!J196+[1]SAP!J196</f>
        <v>0</v>
      </c>
      <c r="K196" s="34">
        <f>[1]FPG!K196+'[1]C.E.'!K196+[1]SAP!K196</f>
        <v>0</v>
      </c>
      <c r="L196" s="34">
        <f>[1]FPG!L196+'[1]C.E.'!L196+[1]SAP!L196</f>
        <v>0</v>
      </c>
      <c r="M196" s="34">
        <f>[1]FPG!M196+'[1]C.E.'!M196+[1]SAP!M196</f>
        <v>0</v>
      </c>
      <c r="N196" s="34">
        <f>[1]FPG!N196+'[1]C.E.'!N196+[1]SAP!N196</f>
        <v>0</v>
      </c>
      <c r="O196" s="34">
        <f>[1]FPG!O196+'[1]C.E.'!O196+[1]SAP!O196</f>
        <v>0</v>
      </c>
      <c r="P196" s="34">
        <f>[1]FPG!P196+'[1]C.E.'!P196+[1]SAP!P196</f>
        <v>0</v>
      </c>
      <c r="Q196" s="34">
        <f>[1]FPG!Q196+'[1]C.E.'!Q196+[1]SAP!Q196</f>
        <v>0</v>
      </c>
      <c r="R196" s="27"/>
      <c r="S196" s="35">
        <f t="shared" si="22"/>
        <v>0</v>
      </c>
      <c r="T196" s="36">
        <f t="shared" si="21"/>
        <v>0</v>
      </c>
      <c r="V196" s="21">
        <f>S196-[1]FPG!S196-'[1]C.E.'!S196</f>
        <v>0</v>
      </c>
      <c r="W196" s="22"/>
    </row>
    <row r="197" spans="1:23" hidden="1" outlineLevel="1" x14ac:dyDescent="0.2">
      <c r="A197" s="9"/>
      <c r="B197" s="48"/>
      <c r="C197" s="31">
        <v>400142</v>
      </c>
      <c r="D197" s="32" t="s">
        <v>187</v>
      </c>
      <c r="E197" s="33"/>
      <c r="F197" s="34">
        <f>[1]FPG!F197+'[1]C.E.'!F197+[1]SAP!F197</f>
        <v>0</v>
      </c>
      <c r="G197" s="34">
        <f>[1]FPG!G197+'[1]C.E.'!G197+[1]SAP!G197</f>
        <v>0</v>
      </c>
      <c r="H197" s="34">
        <f>[1]FPG!H197+'[1]C.E.'!H197+[1]SAP!H197</f>
        <v>0</v>
      </c>
      <c r="I197" s="34">
        <f>[1]FPG!I197+'[1]C.E.'!I197+[1]SAP!I197</f>
        <v>0</v>
      </c>
      <c r="J197" s="34">
        <f>[1]FPG!J197+'[1]C.E.'!J197+[1]SAP!J197</f>
        <v>0</v>
      </c>
      <c r="K197" s="34">
        <f>[1]FPG!K197+'[1]C.E.'!K197+[1]SAP!K197</f>
        <v>0</v>
      </c>
      <c r="L197" s="34">
        <f>[1]FPG!L197+'[1]C.E.'!L197+[1]SAP!L197</f>
        <v>0</v>
      </c>
      <c r="M197" s="34">
        <f>[1]FPG!M197+'[1]C.E.'!M197+[1]SAP!M197</f>
        <v>0</v>
      </c>
      <c r="N197" s="34">
        <f>[1]FPG!N197+'[1]C.E.'!N197+[1]SAP!N197</f>
        <v>0</v>
      </c>
      <c r="O197" s="34">
        <f>[1]FPG!O197+'[1]C.E.'!O197+[1]SAP!O197</f>
        <v>0</v>
      </c>
      <c r="P197" s="34">
        <f>[1]FPG!P197+'[1]C.E.'!P197+[1]SAP!P197</f>
        <v>0</v>
      </c>
      <c r="Q197" s="34">
        <f>[1]FPG!Q197+'[1]C.E.'!Q197+[1]SAP!Q197</f>
        <v>0</v>
      </c>
      <c r="R197" s="27"/>
      <c r="S197" s="35">
        <f t="shared" si="22"/>
        <v>0</v>
      </c>
      <c r="T197" s="36">
        <f t="shared" si="21"/>
        <v>0</v>
      </c>
      <c r="V197" s="21">
        <f>S197-[1]FPG!S197-'[1]C.E.'!S197</f>
        <v>0</v>
      </c>
      <c r="W197" s="22"/>
    </row>
    <row r="198" spans="1:23" hidden="1" outlineLevel="1" x14ac:dyDescent="0.2">
      <c r="A198" s="9"/>
      <c r="B198" s="48"/>
      <c r="C198" s="31">
        <v>400143</v>
      </c>
      <c r="D198" s="32" t="s">
        <v>188</v>
      </c>
      <c r="E198" s="33"/>
      <c r="F198" s="34">
        <f>[1]FPG!F198+'[1]C.E.'!F198+[1]SAP!F198</f>
        <v>0</v>
      </c>
      <c r="G198" s="34">
        <f>[1]FPG!G198+'[1]C.E.'!G198+[1]SAP!G198</f>
        <v>0</v>
      </c>
      <c r="H198" s="34">
        <f>[1]FPG!H198+'[1]C.E.'!H198+[1]SAP!H198</f>
        <v>0</v>
      </c>
      <c r="I198" s="34">
        <f>[1]FPG!I198+'[1]C.E.'!I198+[1]SAP!I198</f>
        <v>0</v>
      </c>
      <c r="J198" s="34">
        <f>[1]FPG!J198+'[1]C.E.'!J198+[1]SAP!J198</f>
        <v>0</v>
      </c>
      <c r="K198" s="34">
        <f>[1]FPG!K198+'[1]C.E.'!K198+[1]SAP!K198</f>
        <v>0</v>
      </c>
      <c r="L198" s="34">
        <f>[1]FPG!L198+'[1]C.E.'!L198+[1]SAP!L198</f>
        <v>0</v>
      </c>
      <c r="M198" s="34">
        <f>[1]FPG!M198+'[1]C.E.'!M198+[1]SAP!M198</f>
        <v>0</v>
      </c>
      <c r="N198" s="34">
        <f>[1]FPG!N198+'[1]C.E.'!N198+[1]SAP!N198</f>
        <v>0</v>
      </c>
      <c r="O198" s="34">
        <f>[1]FPG!O198+'[1]C.E.'!O198+[1]SAP!O198</f>
        <v>0</v>
      </c>
      <c r="P198" s="34">
        <f>[1]FPG!P198+'[1]C.E.'!P198+[1]SAP!P198</f>
        <v>0</v>
      </c>
      <c r="Q198" s="34">
        <f>[1]FPG!Q198+'[1]C.E.'!Q198+[1]SAP!Q198</f>
        <v>0</v>
      </c>
      <c r="R198" s="27"/>
      <c r="S198" s="35">
        <f t="shared" si="22"/>
        <v>0</v>
      </c>
      <c r="T198" s="36">
        <f t="shared" si="21"/>
        <v>0</v>
      </c>
      <c r="V198" s="21">
        <f>S198-[1]FPG!S198-'[1]C.E.'!S198</f>
        <v>0</v>
      </c>
      <c r="W198" s="22"/>
    </row>
    <row r="199" spans="1:23" hidden="1" outlineLevel="1" x14ac:dyDescent="0.2">
      <c r="A199" s="9"/>
      <c r="B199" s="48"/>
      <c r="C199" s="31">
        <v>400144</v>
      </c>
      <c r="D199" s="32" t="s">
        <v>189</v>
      </c>
      <c r="E199" s="33"/>
      <c r="F199" s="34">
        <f>[1]FPG!F199+'[1]C.E.'!F199+[1]SAP!F199</f>
        <v>0</v>
      </c>
      <c r="G199" s="34">
        <f>[1]FPG!G199+'[1]C.E.'!G199+[1]SAP!G199</f>
        <v>0</v>
      </c>
      <c r="H199" s="34">
        <f>[1]FPG!H199+'[1]C.E.'!H199+[1]SAP!H199</f>
        <v>0</v>
      </c>
      <c r="I199" s="34">
        <f>[1]FPG!I199+'[1]C.E.'!I199+[1]SAP!I199</f>
        <v>0</v>
      </c>
      <c r="J199" s="34">
        <f>[1]FPG!J199+'[1]C.E.'!J199+[1]SAP!J199</f>
        <v>0</v>
      </c>
      <c r="K199" s="34">
        <f>[1]FPG!K199+'[1]C.E.'!K199+[1]SAP!K199</f>
        <v>0</v>
      </c>
      <c r="L199" s="34">
        <f>[1]FPG!L199+'[1]C.E.'!L199+[1]SAP!L199</f>
        <v>0</v>
      </c>
      <c r="M199" s="34">
        <f>[1]FPG!M199+'[1]C.E.'!M199+[1]SAP!M199</f>
        <v>0</v>
      </c>
      <c r="N199" s="34">
        <f>[1]FPG!N199+'[1]C.E.'!N199+[1]SAP!N199</f>
        <v>0</v>
      </c>
      <c r="O199" s="34">
        <f>[1]FPG!O199+'[1]C.E.'!O199+[1]SAP!O199</f>
        <v>0</v>
      </c>
      <c r="P199" s="34">
        <f>[1]FPG!P199+'[1]C.E.'!P199+[1]SAP!P199</f>
        <v>0</v>
      </c>
      <c r="Q199" s="34">
        <f>[1]FPG!Q199+'[1]C.E.'!Q199+[1]SAP!Q199</f>
        <v>0</v>
      </c>
      <c r="R199" s="27"/>
      <c r="S199" s="35">
        <f t="shared" si="22"/>
        <v>0</v>
      </c>
      <c r="T199" s="36">
        <f t="shared" si="21"/>
        <v>0</v>
      </c>
      <c r="V199" s="21">
        <f>S199-[1]FPG!S199-'[1]C.E.'!S199</f>
        <v>0</v>
      </c>
      <c r="W199" s="22"/>
    </row>
    <row r="200" spans="1:23" x14ac:dyDescent="0.2">
      <c r="A200" s="9"/>
      <c r="B200" s="49" t="s">
        <v>190</v>
      </c>
      <c r="C200" s="49" t="s">
        <v>191</v>
      </c>
      <c r="D200" s="50"/>
      <c r="E200" s="51" t="s">
        <v>102</v>
      </c>
      <c r="F200" s="52">
        <f>SUM(F201:F204)</f>
        <v>1666.6666666666667</v>
      </c>
      <c r="G200" s="52">
        <f>SUM(G201:G204)</f>
        <v>12575.757575757576</v>
      </c>
      <c r="H200" s="52">
        <f t="shared" ref="H200:Q200" si="24">SUM(H201:H204)</f>
        <v>12575.757575757576</v>
      </c>
      <c r="I200" s="52">
        <f t="shared" si="24"/>
        <v>12575.757575757576</v>
      </c>
      <c r="J200" s="52">
        <f t="shared" si="24"/>
        <v>12575.757575757576</v>
      </c>
      <c r="K200" s="52">
        <f t="shared" si="24"/>
        <v>12575.757575757576</v>
      </c>
      <c r="L200" s="52">
        <f t="shared" si="24"/>
        <v>12575.757575757576</v>
      </c>
      <c r="M200" s="52">
        <f t="shared" si="24"/>
        <v>12575.757575757576</v>
      </c>
      <c r="N200" s="52">
        <f t="shared" si="24"/>
        <v>12575.757575757576</v>
      </c>
      <c r="O200" s="52">
        <f t="shared" si="24"/>
        <v>12575.757575757576</v>
      </c>
      <c r="P200" s="52">
        <f t="shared" si="24"/>
        <v>12575.757575757576</v>
      </c>
      <c r="Q200" s="52">
        <f t="shared" si="24"/>
        <v>12575.757575757576</v>
      </c>
      <c r="R200" s="27"/>
      <c r="S200" s="28">
        <f t="shared" si="22"/>
        <v>139999.99999999997</v>
      </c>
      <c r="T200" s="29">
        <f>S200/$S$43</f>
        <v>1.1961586281657052E-2</v>
      </c>
      <c r="V200" s="21">
        <f>S200-[1]FPG!S200-'[1]C.E.'!S200</f>
        <v>0</v>
      </c>
      <c r="W200" s="22"/>
    </row>
    <row r="201" spans="1:23" hidden="1" outlineLevel="1" x14ac:dyDescent="0.2">
      <c r="A201" s="9"/>
      <c r="B201" s="48"/>
      <c r="C201" s="31">
        <v>400145</v>
      </c>
      <c r="D201" s="32" t="s">
        <v>192</v>
      </c>
      <c r="E201" s="33"/>
      <c r="F201" s="34">
        <f>[1]FPG!F201+'[1]C.E.'!F201+[1]SAP!F201</f>
        <v>0</v>
      </c>
      <c r="G201" s="34">
        <f>[1]FPG!G201+'[1]C.E.'!G201+[1]SAP!G201</f>
        <v>0</v>
      </c>
      <c r="H201" s="34">
        <f>[1]FPG!H201+'[1]C.E.'!H201+[1]SAP!H201</f>
        <v>0</v>
      </c>
      <c r="I201" s="34">
        <f>[1]FPG!I201+'[1]C.E.'!I201+[1]SAP!I201</f>
        <v>0</v>
      </c>
      <c r="J201" s="34">
        <f>[1]FPG!J201+'[1]C.E.'!J201+[1]SAP!J201</f>
        <v>0</v>
      </c>
      <c r="K201" s="34">
        <f>[1]FPG!K201+'[1]C.E.'!K201+[1]SAP!K201</f>
        <v>0</v>
      </c>
      <c r="L201" s="34">
        <f>[1]FPG!L201+'[1]C.E.'!L201+[1]SAP!L201</f>
        <v>0</v>
      </c>
      <c r="M201" s="34">
        <f>[1]FPG!M201+'[1]C.E.'!M201+[1]SAP!M201</f>
        <v>0</v>
      </c>
      <c r="N201" s="34">
        <f>[1]FPG!N201+'[1]C.E.'!N201+[1]SAP!N201</f>
        <v>0</v>
      </c>
      <c r="O201" s="34">
        <f>[1]FPG!O201+'[1]C.E.'!O201+[1]SAP!O201</f>
        <v>0</v>
      </c>
      <c r="P201" s="34">
        <f>[1]FPG!P201+'[1]C.E.'!P201+[1]SAP!P201</f>
        <v>0</v>
      </c>
      <c r="Q201" s="34">
        <f>[1]FPG!Q201+'[1]C.E.'!Q201+[1]SAP!Q201</f>
        <v>0</v>
      </c>
      <c r="R201" s="27"/>
      <c r="S201" s="35">
        <f t="shared" si="22"/>
        <v>0</v>
      </c>
      <c r="T201" s="36">
        <f t="shared" ref="T201:T236" si="25">S201/$S$43</f>
        <v>0</v>
      </c>
      <c r="V201" s="21">
        <f>S201-[1]FPG!S201-'[1]C.E.'!S201</f>
        <v>0</v>
      </c>
      <c r="W201" s="22"/>
    </row>
    <row r="202" spans="1:23" hidden="1" outlineLevel="1" x14ac:dyDescent="0.2">
      <c r="A202" s="9"/>
      <c r="B202" s="48"/>
      <c r="C202" s="31">
        <v>400146</v>
      </c>
      <c r="D202" s="32" t="s">
        <v>193</v>
      </c>
      <c r="E202" s="33"/>
      <c r="F202" s="34">
        <f>[1]FPG!F202+'[1]C.E.'!F202+[1]SAP!F202</f>
        <v>0</v>
      </c>
      <c r="G202" s="34">
        <f>[1]FPG!G202+'[1]C.E.'!G202+[1]SAP!G202</f>
        <v>0</v>
      </c>
      <c r="H202" s="34">
        <f>[1]FPG!H202+'[1]C.E.'!H202+[1]SAP!H202</f>
        <v>0</v>
      </c>
      <c r="I202" s="34">
        <f>[1]FPG!I202+'[1]C.E.'!I202+[1]SAP!I202</f>
        <v>0</v>
      </c>
      <c r="J202" s="34">
        <f>[1]FPG!J202+'[1]C.E.'!J202+[1]SAP!J202</f>
        <v>0</v>
      </c>
      <c r="K202" s="34">
        <f>[1]FPG!K202+'[1]C.E.'!K202+[1]SAP!K202</f>
        <v>0</v>
      </c>
      <c r="L202" s="34">
        <f>[1]FPG!L202+'[1]C.E.'!L202+[1]SAP!L202</f>
        <v>0</v>
      </c>
      <c r="M202" s="34">
        <f>[1]FPG!M202+'[1]C.E.'!M202+[1]SAP!M202</f>
        <v>0</v>
      </c>
      <c r="N202" s="34">
        <f>[1]FPG!N202+'[1]C.E.'!N202+[1]SAP!N202</f>
        <v>0</v>
      </c>
      <c r="O202" s="34">
        <f>[1]FPG!O202+'[1]C.E.'!O202+[1]SAP!O202</f>
        <v>0</v>
      </c>
      <c r="P202" s="34">
        <f>[1]FPG!P202+'[1]C.E.'!P202+[1]SAP!P202</f>
        <v>0</v>
      </c>
      <c r="Q202" s="34">
        <f>[1]FPG!Q202+'[1]C.E.'!Q202+[1]SAP!Q202</f>
        <v>0</v>
      </c>
      <c r="R202" s="27"/>
      <c r="S202" s="35">
        <f t="shared" si="22"/>
        <v>0</v>
      </c>
      <c r="T202" s="36">
        <f t="shared" si="25"/>
        <v>0</v>
      </c>
      <c r="V202" s="21">
        <f>S202-[1]FPG!S202-'[1]C.E.'!S202</f>
        <v>0</v>
      </c>
      <c r="W202" s="22"/>
    </row>
    <row r="203" spans="1:23" outlineLevel="1" x14ac:dyDescent="0.2">
      <c r="A203" s="9"/>
      <c r="B203" s="48"/>
      <c r="C203" s="31">
        <v>400147</v>
      </c>
      <c r="D203" s="32" t="s">
        <v>194</v>
      </c>
      <c r="E203" s="33"/>
      <c r="F203" s="34">
        <f>[1]FPG!F203+'[1]C.E.'!F203+[1]SAP!F203</f>
        <v>0</v>
      </c>
      <c r="G203" s="34">
        <f>[1]FPG!G203+'[1]C.E.'!G203+[1]SAP!G203</f>
        <v>10909.09090909091</v>
      </c>
      <c r="H203" s="34">
        <f>[1]FPG!H203+'[1]C.E.'!H203+[1]SAP!H203</f>
        <v>10909.09090909091</v>
      </c>
      <c r="I203" s="34">
        <f>[1]FPG!I203+'[1]C.E.'!I203+[1]SAP!I203</f>
        <v>10909.09090909091</v>
      </c>
      <c r="J203" s="34">
        <f>[1]FPG!J203+'[1]C.E.'!J203+[1]SAP!J203</f>
        <v>10909.09090909091</v>
      </c>
      <c r="K203" s="34">
        <f>[1]FPG!K203+'[1]C.E.'!K203+[1]SAP!K203</f>
        <v>10909.09090909091</v>
      </c>
      <c r="L203" s="34">
        <f>[1]FPG!L203+'[1]C.E.'!L203+[1]SAP!L203</f>
        <v>10909.09090909091</v>
      </c>
      <c r="M203" s="34">
        <f>[1]FPG!M203+'[1]C.E.'!M203+[1]SAP!M203</f>
        <v>10909.09090909091</v>
      </c>
      <c r="N203" s="34">
        <f>[1]FPG!N203+'[1]C.E.'!N203+[1]SAP!N203</f>
        <v>10909.09090909091</v>
      </c>
      <c r="O203" s="34">
        <f>[1]FPG!O203+'[1]C.E.'!O203+[1]SAP!O203</f>
        <v>10909.09090909091</v>
      </c>
      <c r="P203" s="34">
        <f>[1]FPG!P203+'[1]C.E.'!P203+[1]SAP!P203</f>
        <v>10909.09090909091</v>
      </c>
      <c r="Q203" s="34">
        <f>[1]FPG!Q203+'[1]C.E.'!Q203+[1]SAP!Q203</f>
        <v>10909.09090909091</v>
      </c>
      <c r="R203" s="27"/>
      <c r="S203" s="35">
        <f t="shared" si="22"/>
        <v>120000.00000000001</v>
      </c>
      <c r="T203" s="36">
        <f t="shared" si="25"/>
        <v>1.0252788241420332E-2</v>
      </c>
      <c r="V203" s="21">
        <f>S203-[1]FPG!S203-'[1]C.E.'!S203</f>
        <v>0</v>
      </c>
      <c r="W203" s="22"/>
    </row>
    <row r="204" spans="1:23" outlineLevel="1" x14ac:dyDescent="0.2">
      <c r="A204" s="9"/>
      <c r="B204" s="48"/>
      <c r="C204" s="31">
        <v>400148</v>
      </c>
      <c r="D204" s="32" t="s">
        <v>195</v>
      </c>
      <c r="E204" s="33"/>
      <c r="F204" s="34">
        <f>[1]FPG!F204+'[1]C.E.'!F204+[1]SAP!F204</f>
        <v>1666.6666666666667</v>
      </c>
      <c r="G204" s="34">
        <f>[1]FPG!G204+'[1]C.E.'!G204+[1]SAP!G204</f>
        <v>1666.6666666666667</v>
      </c>
      <c r="H204" s="34">
        <f>[1]FPG!H204+'[1]C.E.'!H204+[1]SAP!H204</f>
        <v>1666.6666666666667</v>
      </c>
      <c r="I204" s="34">
        <f>[1]FPG!I204+'[1]C.E.'!I204+[1]SAP!I204</f>
        <v>1666.6666666666667</v>
      </c>
      <c r="J204" s="34">
        <f>[1]FPG!J204+'[1]C.E.'!J204+[1]SAP!J204</f>
        <v>1666.6666666666667</v>
      </c>
      <c r="K204" s="34">
        <f>[1]FPG!K204+'[1]C.E.'!K204+[1]SAP!K204</f>
        <v>1666.6666666666667</v>
      </c>
      <c r="L204" s="34">
        <f>[1]FPG!L204+'[1]C.E.'!L204+[1]SAP!L204</f>
        <v>1666.6666666666667</v>
      </c>
      <c r="M204" s="34">
        <f>[1]FPG!M204+'[1]C.E.'!M204+[1]SAP!M204</f>
        <v>1666.6666666666667</v>
      </c>
      <c r="N204" s="34">
        <f>[1]FPG!N204+'[1]C.E.'!N204+[1]SAP!N204</f>
        <v>1666.6666666666667</v>
      </c>
      <c r="O204" s="34">
        <f>[1]FPG!O204+'[1]C.E.'!O204+[1]SAP!O204</f>
        <v>1666.6666666666667</v>
      </c>
      <c r="P204" s="34">
        <f>[1]FPG!P204+'[1]C.E.'!P204+[1]SAP!P204</f>
        <v>1666.6666666666667</v>
      </c>
      <c r="Q204" s="34">
        <f>[1]FPG!Q204+'[1]C.E.'!Q204+[1]SAP!Q204</f>
        <v>1666.6666666666667</v>
      </c>
      <c r="R204" s="27"/>
      <c r="S204" s="35">
        <f t="shared" si="22"/>
        <v>20000</v>
      </c>
      <c r="T204" s="36">
        <f t="shared" si="25"/>
        <v>1.7087980402367218E-3</v>
      </c>
      <c r="V204" s="21">
        <f>S204-[1]FPG!S204-'[1]C.E.'!S204</f>
        <v>0</v>
      </c>
      <c r="W204" s="22"/>
    </row>
    <row r="205" spans="1:23" s="60" customFormat="1" ht="13.8" x14ac:dyDescent="0.2">
      <c r="A205" s="53"/>
      <c r="B205" s="54" t="s">
        <v>196</v>
      </c>
      <c r="C205" s="54" t="s">
        <v>197</v>
      </c>
      <c r="D205" s="55"/>
      <c r="E205" s="56" t="s">
        <v>102</v>
      </c>
      <c r="F205" s="57">
        <f>SUM(F206:F236)</f>
        <v>42219.729625141663</v>
      </c>
      <c r="G205" s="57">
        <f>SUM(G206:G236)</f>
        <v>87219.72962514167</v>
      </c>
      <c r="H205" s="57">
        <f t="shared" ref="H205:Q205" si="26">SUM(H206:H236)</f>
        <v>70219.72962514167</v>
      </c>
      <c r="I205" s="57">
        <f t="shared" si="26"/>
        <v>95219.72962514167</v>
      </c>
      <c r="J205" s="57">
        <f t="shared" si="26"/>
        <v>15219.729625141666</v>
      </c>
      <c r="K205" s="57">
        <f t="shared" si="26"/>
        <v>125219.72962514167</v>
      </c>
      <c r="L205" s="57">
        <f t="shared" si="26"/>
        <v>15219.729625141666</v>
      </c>
      <c r="M205" s="57">
        <f t="shared" si="26"/>
        <v>45219.729625141663</v>
      </c>
      <c r="N205" s="57">
        <f t="shared" si="26"/>
        <v>30219.729625141666</v>
      </c>
      <c r="O205" s="57">
        <f t="shared" si="26"/>
        <v>15219.729625141666</v>
      </c>
      <c r="P205" s="57">
        <f t="shared" si="26"/>
        <v>30219.729625141666</v>
      </c>
      <c r="Q205" s="57">
        <f t="shared" si="26"/>
        <v>45219.729625141663</v>
      </c>
      <c r="R205" s="58"/>
      <c r="S205" s="70">
        <f t="shared" si="22"/>
        <v>616636.7555017001</v>
      </c>
      <c r="T205" s="29">
        <f>S205/$S$43</f>
        <v>5.2685383966961791E-2</v>
      </c>
      <c r="V205" s="21">
        <f>S205-[1]FPG!S205-'[1]C.E.'!S205</f>
        <v>0</v>
      </c>
      <c r="W205" s="22">
        <f>S205-S10-S35</f>
        <v>1.1641532182693481E-10</v>
      </c>
    </row>
    <row r="206" spans="1:23" hidden="1" outlineLevel="1" x14ac:dyDescent="0.2">
      <c r="A206" s="9"/>
      <c r="B206" s="48"/>
      <c r="C206" s="31">
        <v>400312</v>
      </c>
      <c r="D206" s="32" t="s">
        <v>103</v>
      </c>
      <c r="E206" s="33"/>
      <c r="F206" s="34">
        <f>[1]FPG!F206+'[1]C.E.'!F206+[1]SAP!F206</f>
        <v>0</v>
      </c>
      <c r="G206" s="34">
        <f>[1]FPG!G206+'[1]C.E.'!G206+[1]SAP!G206</f>
        <v>0</v>
      </c>
      <c r="H206" s="34">
        <f>[1]FPG!H206+'[1]C.E.'!H206+[1]SAP!H206</f>
        <v>0</v>
      </c>
      <c r="I206" s="34">
        <f>[1]FPG!I206+'[1]C.E.'!I206+[1]SAP!I206</f>
        <v>0</v>
      </c>
      <c r="J206" s="34">
        <f>[1]FPG!J206+'[1]C.E.'!J206+[1]SAP!J206</f>
        <v>0</v>
      </c>
      <c r="K206" s="34">
        <f>[1]FPG!K206+'[1]C.E.'!K206+[1]SAP!K206</f>
        <v>0</v>
      </c>
      <c r="L206" s="34">
        <f>[1]FPG!L206+'[1]C.E.'!L206+[1]SAP!L206</f>
        <v>0</v>
      </c>
      <c r="M206" s="34">
        <f>[1]FPG!M206+'[1]C.E.'!M206+[1]SAP!M206</f>
        <v>0</v>
      </c>
      <c r="N206" s="34">
        <f>[1]FPG!N206+'[1]C.E.'!N206+[1]SAP!N206</f>
        <v>0</v>
      </c>
      <c r="O206" s="34">
        <f>[1]FPG!O206+'[1]C.E.'!O206+[1]SAP!O206</f>
        <v>0</v>
      </c>
      <c r="P206" s="34">
        <f>[1]FPG!P206+'[1]C.E.'!P206+[1]SAP!P206</f>
        <v>0</v>
      </c>
      <c r="Q206" s="34">
        <f>[1]FPG!Q206+'[1]C.E.'!Q206+[1]SAP!Q206</f>
        <v>0</v>
      </c>
      <c r="R206" s="27"/>
      <c r="S206" s="35">
        <f t="shared" si="22"/>
        <v>0</v>
      </c>
      <c r="T206" s="36">
        <f t="shared" si="25"/>
        <v>0</v>
      </c>
      <c r="V206" s="21">
        <f>S206-[1]FPG!S206-'[1]C.E.'!S206</f>
        <v>0</v>
      </c>
      <c r="W206" s="22"/>
    </row>
    <row r="207" spans="1:23" hidden="1" outlineLevel="1" x14ac:dyDescent="0.2">
      <c r="A207" s="9"/>
      <c r="B207" s="48"/>
      <c r="C207" s="31">
        <v>400313</v>
      </c>
      <c r="D207" s="32" t="s">
        <v>104</v>
      </c>
      <c r="E207" s="33"/>
      <c r="F207" s="34">
        <f>[1]FPG!F207+'[1]C.E.'!F207+[1]SAP!F207</f>
        <v>0</v>
      </c>
      <c r="G207" s="34">
        <f>[1]FPG!G207+'[1]C.E.'!G207+[1]SAP!G207</f>
        <v>0</v>
      </c>
      <c r="H207" s="34">
        <f>[1]FPG!H207+'[1]C.E.'!H207+[1]SAP!H207</f>
        <v>0</v>
      </c>
      <c r="I207" s="34">
        <f>[1]FPG!I207+'[1]C.E.'!I207+[1]SAP!I207</f>
        <v>0</v>
      </c>
      <c r="J207" s="34">
        <f>[1]FPG!J207+'[1]C.E.'!J207+[1]SAP!J207</f>
        <v>0</v>
      </c>
      <c r="K207" s="34">
        <f>[1]FPG!K207+'[1]C.E.'!K207+[1]SAP!K207</f>
        <v>0</v>
      </c>
      <c r="L207" s="34">
        <f>[1]FPG!L207+'[1]C.E.'!L207+[1]SAP!L207</f>
        <v>0</v>
      </c>
      <c r="M207" s="34">
        <f>[1]FPG!M207+'[1]C.E.'!M207+[1]SAP!M207</f>
        <v>0</v>
      </c>
      <c r="N207" s="34">
        <f>[1]FPG!N207+'[1]C.E.'!N207+[1]SAP!N207</f>
        <v>0</v>
      </c>
      <c r="O207" s="34">
        <f>[1]FPG!O207+'[1]C.E.'!O207+[1]SAP!O207</f>
        <v>0</v>
      </c>
      <c r="P207" s="34">
        <f>[1]FPG!P207+'[1]C.E.'!P207+[1]SAP!P207</f>
        <v>0</v>
      </c>
      <c r="Q207" s="34">
        <f>[1]FPG!Q207+'[1]C.E.'!Q207+[1]SAP!Q207</f>
        <v>0</v>
      </c>
      <c r="R207" s="27"/>
      <c r="S207" s="35">
        <f t="shared" si="22"/>
        <v>0</v>
      </c>
      <c r="T207" s="36">
        <f t="shared" si="25"/>
        <v>0</v>
      </c>
      <c r="V207" s="21">
        <f>S207-[1]FPG!S207-'[1]C.E.'!S207</f>
        <v>0</v>
      </c>
      <c r="W207" s="22"/>
    </row>
    <row r="208" spans="1:23" hidden="1" outlineLevel="1" x14ac:dyDescent="0.2">
      <c r="A208" s="9"/>
      <c r="B208" s="48"/>
      <c r="C208" s="31">
        <v>400314</v>
      </c>
      <c r="D208" s="32" t="s">
        <v>105</v>
      </c>
      <c r="E208" s="33"/>
      <c r="F208" s="34">
        <f>[1]FPG!F208+'[1]C.E.'!F208+[1]SAP!F208</f>
        <v>0</v>
      </c>
      <c r="G208" s="34">
        <f>[1]FPG!G208+'[1]C.E.'!G208+[1]SAP!G208</f>
        <v>0</v>
      </c>
      <c r="H208" s="34">
        <f>[1]FPG!H208+'[1]C.E.'!H208+[1]SAP!H208</f>
        <v>0</v>
      </c>
      <c r="I208" s="34">
        <f>[1]FPG!I208+'[1]C.E.'!I208+[1]SAP!I208</f>
        <v>0</v>
      </c>
      <c r="J208" s="34">
        <f>[1]FPG!J208+'[1]C.E.'!J208+[1]SAP!J208</f>
        <v>0</v>
      </c>
      <c r="K208" s="34">
        <f>[1]FPG!K208+'[1]C.E.'!K208+[1]SAP!K208</f>
        <v>0</v>
      </c>
      <c r="L208" s="34">
        <f>[1]FPG!L208+'[1]C.E.'!L208+[1]SAP!L208</f>
        <v>0</v>
      </c>
      <c r="M208" s="34">
        <f>[1]FPG!M208+'[1]C.E.'!M208+[1]SAP!M208</f>
        <v>0</v>
      </c>
      <c r="N208" s="34">
        <f>[1]FPG!N208+'[1]C.E.'!N208+[1]SAP!N208</f>
        <v>0</v>
      </c>
      <c r="O208" s="34">
        <f>[1]FPG!O208+'[1]C.E.'!O208+[1]SAP!O208</f>
        <v>0</v>
      </c>
      <c r="P208" s="34">
        <f>[1]FPG!P208+'[1]C.E.'!P208+[1]SAP!P208</f>
        <v>0</v>
      </c>
      <c r="Q208" s="34">
        <f>[1]FPG!Q208+'[1]C.E.'!Q208+[1]SAP!Q208</f>
        <v>0</v>
      </c>
      <c r="R208" s="27"/>
      <c r="S208" s="35">
        <f t="shared" si="22"/>
        <v>0</v>
      </c>
      <c r="T208" s="36">
        <f t="shared" si="25"/>
        <v>0</v>
      </c>
      <c r="V208" s="21">
        <f>S208-[1]FPG!S208-'[1]C.E.'!S208</f>
        <v>0</v>
      </c>
      <c r="W208" s="22"/>
    </row>
    <row r="209" spans="1:23" ht="40.799999999999997" outlineLevel="1" x14ac:dyDescent="0.2">
      <c r="A209" s="9"/>
      <c r="B209" s="48"/>
      <c r="C209" s="31">
        <v>400315</v>
      </c>
      <c r="D209" s="62" t="s">
        <v>198</v>
      </c>
      <c r="E209" s="33"/>
      <c r="F209" s="34">
        <f>[1]FPG!F209+'[1]C.E.'!F209+[1]SAP!F209</f>
        <v>20000</v>
      </c>
      <c r="G209" s="34">
        <f>[1]FPG!G209+'[1]C.E.'!G209+[1]SAP!G209</f>
        <v>0</v>
      </c>
      <c r="H209" s="34">
        <f>[1]FPG!H209+'[1]C.E.'!H209+[1]SAP!H209</f>
        <v>15000</v>
      </c>
      <c r="I209" s="34">
        <f>[1]FPG!I209+'[1]C.E.'!I209+[1]SAP!I209</f>
        <v>30000</v>
      </c>
      <c r="J209" s="34">
        <f>[1]FPG!J209+'[1]C.E.'!J209+[1]SAP!J209</f>
        <v>0</v>
      </c>
      <c r="K209" s="34">
        <f>[1]FPG!K209+'[1]C.E.'!K209+[1]SAP!K209</f>
        <v>30000</v>
      </c>
      <c r="L209" s="34">
        <f>[1]FPG!L209+'[1]C.E.'!L209+[1]SAP!L209</f>
        <v>0</v>
      </c>
      <c r="M209" s="34">
        <f>[1]FPG!M209+'[1]C.E.'!M209+[1]SAP!M209</f>
        <v>0</v>
      </c>
      <c r="N209" s="34">
        <f>[1]FPG!N209+'[1]C.E.'!N209+[1]SAP!N209</f>
        <v>15000</v>
      </c>
      <c r="O209" s="34">
        <f>[1]FPG!O209+'[1]C.E.'!O209+[1]SAP!O209</f>
        <v>0</v>
      </c>
      <c r="P209" s="34">
        <f>[1]FPG!P209+'[1]C.E.'!P209+[1]SAP!P209</f>
        <v>15000</v>
      </c>
      <c r="Q209" s="34">
        <f>[1]FPG!Q209+'[1]C.E.'!Q209+[1]SAP!Q209</f>
        <v>0</v>
      </c>
      <c r="R209" s="27"/>
      <c r="S209" s="35">
        <f t="shared" si="22"/>
        <v>125000</v>
      </c>
      <c r="T209" s="36">
        <f>S209/$S$43</f>
        <v>1.0679987751479512E-2</v>
      </c>
      <c r="V209" s="21">
        <f>S209-[1]FPG!S209-'[1]C.E.'!S209</f>
        <v>0</v>
      </c>
      <c r="W209" s="22"/>
    </row>
    <row r="210" spans="1:23" hidden="1" outlineLevel="1" x14ac:dyDescent="0.2">
      <c r="A210" s="9"/>
      <c r="B210" s="48"/>
      <c r="C210" s="31">
        <v>400316</v>
      </c>
      <c r="D210" s="32" t="s">
        <v>107</v>
      </c>
      <c r="E210" s="33"/>
      <c r="F210" s="34">
        <f>[1]FPG!F210+'[1]C.E.'!F210+[1]SAP!F210</f>
        <v>0</v>
      </c>
      <c r="G210" s="34">
        <f>[1]FPG!G210+'[1]C.E.'!G210+[1]SAP!G210</f>
        <v>0</v>
      </c>
      <c r="H210" s="34">
        <f>[1]FPG!H210+'[1]C.E.'!H210+[1]SAP!H210</f>
        <v>0</v>
      </c>
      <c r="I210" s="34">
        <f>[1]FPG!I210+'[1]C.E.'!I210+[1]SAP!I210</f>
        <v>0</v>
      </c>
      <c r="J210" s="34">
        <f>[1]FPG!J210+'[1]C.E.'!J210+[1]SAP!J210</f>
        <v>0</v>
      </c>
      <c r="K210" s="34">
        <f>[1]FPG!K210+'[1]C.E.'!K210+[1]SAP!K210</f>
        <v>0</v>
      </c>
      <c r="L210" s="34">
        <f>[1]FPG!L210+'[1]C.E.'!L210+[1]SAP!L210</f>
        <v>0</v>
      </c>
      <c r="M210" s="34">
        <f>[1]FPG!M210+'[1]C.E.'!M210+[1]SAP!M210</f>
        <v>0</v>
      </c>
      <c r="N210" s="34">
        <f>[1]FPG!N210+'[1]C.E.'!N210+[1]SAP!N210</f>
        <v>0</v>
      </c>
      <c r="O210" s="34">
        <f>[1]FPG!O210+'[1]C.E.'!O210+[1]SAP!O210</f>
        <v>0</v>
      </c>
      <c r="P210" s="34">
        <f>[1]FPG!P210+'[1]C.E.'!P210+[1]SAP!P210</f>
        <v>0</v>
      </c>
      <c r="Q210" s="34">
        <f>[1]FPG!Q210+'[1]C.E.'!Q210+[1]SAP!Q210</f>
        <v>0</v>
      </c>
      <c r="R210" s="27"/>
      <c r="S210" s="35">
        <f t="shared" si="22"/>
        <v>0</v>
      </c>
      <c r="T210" s="36">
        <f t="shared" si="25"/>
        <v>0</v>
      </c>
      <c r="V210" s="21">
        <f>S210-[1]FPG!S210-'[1]C.E.'!S210</f>
        <v>0</v>
      </c>
      <c r="W210" s="22"/>
    </row>
    <row r="211" spans="1:23" hidden="1" outlineLevel="1" x14ac:dyDescent="0.2">
      <c r="A211" s="9"/>
      <c r="B211" s="48"/>
      <c r="C211" s="31">
        <v>400317</v>
      </c>
      <c r="D211" s="32" t="s">
        <v>199</v>
      </c>
      <c r="E211" s="33"/>
      <c r="F211" s="34">
        <f>[1]FPG!F211+'[1]C.E.'!F211+[1]SAP!F211</f>
        <v>0</v>
      </c>
      <c r="G211" s="34">
        <f>[1]FPG!G211+'[1]C.E.'!G211+[1]SAP!G211</f>
        <v>0</v>
      </c>
      <c r="H211" s="34">
        <f>[1]FPG!H211+'[1]C.E.'!H211+[1]SAP!H211</f>
        <v>0</v>
      </c>
      <c r="I211" s="34">
        <f>[1]FPG!I211+'[1]C.E.'!I211+[1]SAP!I211</f>
        <v>0</v>
      </c>
      <c r="J211" s="34">
        <f>[1]FPG!J211+'[1]C.E.'!J211+[1]SAP!J211</f>
        <v>0</v>
      </c>
      <c r="K211" s="34">
        <f>[1]FPG!K211+'[1]C.E.'!K211+[1]SAP!K211</f>
        <v>0</v>
      </c>
      <c r="L211" s="34">
        <f>[1]FPG!L211+'[1]C.E.'!L211+[1]SAP!L211</f>
        <v>0</v>
      </c>
      <c r="M211" s="34">
        <f>[1]FPG!M211+'[1]C.E.'!M211+[1]SAP!M211</f>
        <v>0</v>
      </c>
      <c r="N211" s="34">
        <f>[1]FPG!N211+'[1]C.E.'!N211+[1]SAP!N211</f>
        <v>0</v>
      </c>
      <c r="O211" s="34">
        <f>[1]FPG!O211+'[1]C.E.'!O211+[1]SAP!O211</f>
        <v>0</v>
      </c>
      <c r="P211" s="34">
        <f>[1]FPG!P211+'[1]C.E.'!P211+[1]SAP!P211</f>
        <v>0</v>
      </c>
      <c r="Q211" s="34">
        <f>[1]FPG!Q211+'[1]C.E.'!Q211+[1]SAP!Q211</f>
        <v>0</v>
      </c>
      <c r="R211" s="27"/>
      <c r="S211" s="35">
        <f t="shared" si="22"/>
        <v>0</v>
      </c>
      <c r="T211" s="36">
        <f t="shared" si="25"/>
        <v>0</v>
      </c>
      <c r="V211" s="21">
        <f>S211-[1]FPG!S211-'[1]C.E.'!S211</f>
        <v>0</v>
      </c>
      <c r="W211" s="22"/>
    </row>
    <row r="212" spans="1:23" hidden="1" outlineLevel="1" x14ac:dyDescent="0.2">
      <c r="A212" s="9"/>
      <c r="B212" s="48"/>
      <c r="C212" s="31">
        <v>400318</v>
      </c>
      <c r="D212" s="32" t="s">
        <v>109</v>
      </c>
      <c r="E212" s="33"/>
      <c r="F212" s="34">
        <f>[1]FPG!F212+'[1]C.E.'!F212+[1]SAP!F212</f>
        <v>0</v>
      </c>
      <c r="G212" s="34">
        <f>[1]FPG!G212+'[1]C.E.'!G212+[1]SAP!G212</f>
        <v>0</v>
      </c>
      <c r="H212" s="34">
        <f>[1]FPG!H212+'[1]C.E.'!H212+[1]SAP!H212</f>
        <v>0</v>
      </c>
      <c r="I212" s="34">
        <f>[1]FPG!I212+'[1]C.E.'!I212+[1]SAP!I212</f>
        <v>0</v>
      </c>
      <c r="J212" s="34">
        <f>[1]FPG!J212+'[1]C.E.'!J212+[1]SAP!J212</f>
        <v>0</v>
      </c>
      <c r="K212" s="34">
        <f>[1]FPG!K212+'[1]C.E.'!K212+[1]SAP!K212</f>
        <v>0</v>
      </c>
      <c r="L212" s="34">
        <f>[1]FPG!L212+'[1]C.E.'!L212+[1]SAP!L212</f>
        <v>0</v>
      </c>
      <c r="M212" s="34">
        <f>[1]FPG!M212+'[1]C.E.'!M212+[1]SAP!M212</f>
        <v>0</v>
      </c>
      <c r="N212" s="34">
        <f>[1]FPG!N212+'[1]C.E.'!N212+[1]SAP!N212</f>
        <v>0</v>
      </c>
      <c r="O212" s="34">
        <f>[1]FPG!O212+'[1]C.E.'!O212+[1]SAP!O212</f>
        <v>0</v>
      </c>
      <c r="P212" s="34">
        <f>[1]FPG!P212+'[1]C.E.'!P212+[1]SAP!P212</f>
        <v>0</v>
      </c>
      <c r="Q212" s="34">
        <f>[1]FPG!Q212+'[1]C.E.'!Q212+[1]SAP!Q212</f>
        <v>0</v>
      </c>
      <c r="R212" s="27"/>
      <c r="S212" s="35">
        <f t="shared" si="22"/>
        <v>0</v>
      </c>
      <c r="T212" s="36">
        <f t="shared" si="25"/>
        <v>0</v>
      </c>
      <c r="V212" s="21">
        <f>S212-[1]FPG!S212-'[1]C.E.'!S212</f>
        <v>0</v>
      </c>
      <c r="W212" s="22"/>
    </row>
    <row r="213" spans="1:23" hidden="1" outlineLevel="1" x14ac:dyDescent="0.2">
      <c r="A213" s="9"/>
      <c r="B213" s="48"/>
      <c r="C213" s="31">
        <v>400319</v>
      </c>
      <c r="D213" s="32" t="s">
        <v>110</v>
      </c>
      <c r="E213" s="33"/>
      <c r="F213" s="34">
        <f>[1]FPG!F213+'[1]C.E.'!F213+[1]SAP!F213</f>
        <v>0</v>
      </c>
      <c r="G213" s="34">
        <f>[1]FPG!G213+'[1]C.E.'!G213+[1]SAP!G213</f>
        <v>0</v>
      </c>
      <c r="H213" s="34">
        <f>[1]FPG!H213+'[1]C.E.'!H213+[1]SAP!H213</f>
        <v>0</v>
      </c>
      <c r="I213" s="34">
        <f>[1]FPG!I213+'[1]C.E.'!I213+[1]SAP!I213</f>
        <v>0</v>
      </c>
      <c r="J213" s="34">
        <f>[1]FPG!J213+'[1]C.E.'!J213+[1]SAP!J213</f>
        <v>0</v>
      </c>
      <c r="K213" s="34">
        <f>[1]FPG!K213+'[1]C.E.'!K213+[1]SAP!K213</f>
        <v>0</v>
      </c>
      <c r="L213" s="34">
        <f>[1]FPG!L213+'[1]C.E.'!L213+[1]SAP!L213</f>
        <v>0</v>
      </c>
      <c r="M213" s="34">
        <f>[1]FPG!M213+'[1]C.E.'!M213+[1]SAP!M213</f>
        <v>0</v>
      </c>
      <c r="N213" s="34">
        <f>[1]FPG!N213+'[1]C.E.'!N213+[1]SAP!N213</f>
        <v>0</v>
      </c>
      <c r="O213" s="34">
        <f>[1]FPG!O213+'[1]C.E.'!O213+[1]SAP!O213</f>
        <v>0</v>
      </c>
      <c r="P213" s="34">
        <f>[1]FPG!P213+'[1]C.E.'!P213+[1]SAP!P213</f>
        <v>0</v>
      </c>
      <c r="Q213" s="34">
        <f>[1]FPG!Q213+'[1]C.E.'!Q213+[1]SAP!Q213</f>
        <v>0</v>
      </c>
      <c r="R213" s="27"/>
      <c r="S213" s="35">
        <f t="shared" si="22"/>
        <v>0</v>
      </c>
      <c r="T213" s="36">
        <f t="shared" si="25"/>
        <v>0</v>
      </c>
      <c r="V213" s="21">
        <f>S213-[1]FPG!S213-'[1]C.E.'!S213</f>
        <v>0</v>
      </c>
      <c r="W213" s="22"/>
    </row>
    <row r="214" spans="1:23" hidden="1" outlineLevel="1" x14ac:dyDescent="0.2">
      <c r="A214" s="9"/>
      <c r="B214" s="48"/>
      <c r="C214" s="31">
        <v>400320</v>
      </c>
      <c r="D214" s="32" t="s">
        <v>111</v>
      </c>
      <c r="E214" s="33"/>
      <c r="F214" s="34">
        <f>[1]FPG!F214+'[1]C.E.'!F214+[1]SAP!F214</f>
        <v>0</v>
      </c>
      <c r="G214" s="34">
        <f>[1]FPG!G214+'[1]C.E.'!G214+[1]SAP!G214</f>
        <v>0</v>
      </c>
      <c r="H214" s="34">
        <f>[1]FPG!H214+'[1]C.E.'!H214+[1]SAP!H214</f>
        <v>0</v>
      </c>
      <c r="I214" s="34">
        <f>[1]FPG!I214+'[1]C.E.'!I214+[1]SAP!I214</f>
        <v>0</v>
      </c>
      <c r="J214" s="34">
        <f>[1]FPG!J214+'[1]C.E.'!J214+[1]SAP!J214</f>
        <v>0</v>
      </c>
      <c r="K214" s="34">
        <f>[1]FPG!K214+'[1]C.E.'!K214+[1]SAP!K214</f>
        <v>0</v>
      </c>
      <c r="L214" s="34">
        <f>[1]FPG!L214+'[1]C.E.'!L214+[1]SAP!L214</f>
        <v>0</v>
      </c>
      <c r="M214" s="34">
        <f>[1]FPG!M214+'[1]C.E.'!M214+[1]SAP!M214</f>
        <v>0</v>
      </c>
      <c r="N214" s="34">
        <f>[1]FPG!N214+'[1]C.E.'!N214+[1]SAP!N214</f>
        <v>0</v>
      </c>
      <c r="O214" s="34">
        <f>[1]FPG!O214+'[1]C.E.'!O214+[1]SAP!O214</f>
        <v>0</v>
      </c>
      <c r="P214" s="34">
        <f>[1]FPG!P214+'[1]C.E.'!P214+[1]SAP!P214</f>
        <v>0</v>
      </c>
      <c r="Q214" s="34">
        <f>[1]FPG!Q214+'[1]C.E.'!Q214+[1]SAP!Q214</f>
        <v>0</v>
      </c>
      <c r="R214" s="27"/>
      <c r="S214" s="35">
        <f t="shared" si="22"/>
        <v>0</v>
      </c>
      <c r="T214" s="36">
        <f t="shared" si="25"/>
        <v>0</v>
      </c>
      <c r="V214" s="21">
        <f>S214-[1]FPG!S214-'[1]C.E.'!S214</f>
        <v>0</v>
      </c>
      <c r="W214" s="22"/>
    </row>
    <row r="215" spans="1:23" hidden="1" outlineLevel="1" x14ac:dyDescent="0.2">
      <c r="A215" s="9"/>
      <c r="B215" s="48"/>
      <c r="C215" s="31">
        <v>400321</v>
      </c>
      <c r="D215" s="32" t="s">
        <v>112</v>
      </c>
      <c r="E215" s="33"/>
      <c r="F215" s="34">
        <f>[1]FPG!F215+'[1]C.E.'!F215+[1]SAP!F215</f>
        <v>0</v>
      </c>
      <c r="G215" s="34">
        <f>[1]FPG!G215+'[1]C.E.'!G215+[1]SAP!G215</f>
        <v>0</v>
      </c>
      <c r="H215" s="34">
        <f>[1]FPG!H215+'[1]C.E.'!H215+[1]SAP!H215</f>
        <v>0</v>
      </c>
      <c r="I215" s="34">
        <f>[1]FPG!I215+'[1]C.E.'!I215+[1]SAP!I215</f>
        <v>0</v>
      </c>
      <c r="J215" s="34">
        <f>[1]FPG!J215+'[1]C.E.'!J215+[1]SAP!J215</f>
        <v>0</v>
      </c>
      <c r="K215" s="34">
        <f>[1]FPG!K215+'[1]C.E.'!K215+[1]SAP!K215</f>
        <v>0</v>
      </c>
      <c r="L215" s="34">
        <f>[1]FPG!L215+'[1]C.E.'!L215+[1]SAP!L215</f>
        <v>0</v>
      </c>
      <c r="M215" s="34">
        <f>[1]FPG!M215+'[1]C.E.'!M215+[1]SAP!M215</f>
        <v>0</v>
      </c>
      <c r="N215" s="34">
        <f>[1]FPG!N215+'[1]C.E.'!N215+[1]SAP!N215</f>
        <v>0</v>
      </c>
      <c r="O215" s="34">
        <f>[1]FPG!O215+'[1]C.E.'!O215+[1]SAP!O215</f>
        <v>0</v>
      </c>
      <c r="P215" s="34">
        <f>[1]FPG!P215+'[1]C.E.'!P215+[1]SAP!P215</f>
        <v>0</v>
      </c>
      <c r="Q215" s="34">
        <f>[1]FPG!Q215+'[1]C.E.'!Q215+[1]SAP!Q215</f>
        <v>0</v>
      </c>
      <c r="R215" s="27"/>
      <c r="S215" s="35">
        <f t="shared" si="22"/>
        <v>0</v>
      </c>
      <c r="T215" s="36">
        <f t="shared" si="25"/>
        <v>0</v>
      </c>
      <c r="V215" s="21">
        <f>S215-[1]FPG!S215-'[1]C.E.'!S215</f>
        <v>0</v>
      </c>
      <c r="W215" s="22"/>
    </row>
    <row r="216" spans="1:23" hidden="1" outlineLevel="1" x14ac:dyDescent="0.2">
      <c r="A216" s="9"/>
      <c r="B216" s="48"/>
      <c r="C216" s="31">
        <v>400322</v>
      </c>
      <c r="D216" s="32" t="s">
        <v>113</v>
      </c>
      <c r="E216" s="33"/>
      <c r="F216" s="34">
        <f>[1]FPG!F216+'[1]C.E.'!F216+[1]SAP!F216</f>
        <v>0</v>
      </c>
      <c r="G216" s="34">
        <f>[1]FPG!G216+'[1]C.E.'!G216+[1]SAP!G216</f>
        <v>0</v>
      </c>
      <c r="H216" s="34">
        <f>[1]FPG!H216+'[1]C.E.'!H216+[1]SAP!H216</f>
        <v>0</v>
      </c>
      <c r="I216" s="34">
        <f>[1]FPG!I216+'[1]C.E.'!I216+[1]SAP!I216</f>
        <v>0</v>
      </c>
      <c r="J216" s="34">
        <f>[1]FPG!J216+'[1]C.E.'!J216+[1]SAP!J216</f>
        <v>0</v>
      </c>
      <c r="K216" s="34">
        <f>[1]FPG!K216+'[1]C.E.'!K216+[1]SAP!K216</f>
        <v>0</v>
      </c>
      <c r="L216" s="34">
        <f>[1]FPG!L216+'[1]C.E.'!L216+[1]SAP!L216</f>
        <v>0</v>
      </c>
      <c r="M216" s="34">
        <f>[1]FPG!M216+'[1]C.E.'!M216+[1]SAP!M216</f>
        <v>0</v>
      </c>
      <c r="N216" s="34">
        <f>[1]FPG!N216+'[1]C.E.'!N216+[1]SAP!N216</f>
        <v>0</v>
      </c>
      <c r="O216" s="34">
        <f>[1]FPG!O216+'[1]C.E.'!O216+[1]SAP!O216</f>
        <v>0</v>
      </c>
      <c r="P216" s="34">
        <f>[1]FPG!P216+'[1]C.E.'!P216+[1]SAP!P216</f>
        <v>0</v>
      </c>
      <c r="Q216" s="34">
        <f>[1]FPG!Q216+'[1]C.E.'!Q216+[1]SAP!Q216</f>
        <v>0</v>
      </c>
      <c r="R216" s="27"/>
      <c r="S216" s="35">
        <f t="shared" si="22"/>
        <v>0</v>
      </c>
      <c r="T216" s="36">
        <f t="shared" si="25"/>
        <v>0</v>
      </c>
      <c r="V216" s="21">
        <f>S216-[1]FPG!S216-'[1]C.E.'!S216</f>
        <v>0</v>
      </c>
      <c r="W216" s="22"/>
    </row>
    <row r="217" spans="1:23" hidden="1" outlineLevel="1" x14ac:dyDescent="0.2">
      <c r="A217" s="9"/>
      <c r="B217" s="48"/>
      <c r="C217" s="31">
        <v>400323</v>
      </c>
      <c r="D217" s="32" t="s">
        <v>114</v>
      </c>
      <c r="E217" s="33"/>
      <c r="F217" s="34">
        <f>[1]FPG!F217+'[1]C.E.'!F217+[1]SAP!F217</f>
        <v>0</v>
      </c>
      <c r="G217" s="34">
        <f>[1]FPG!G217+'[1]C.E.'!G217+[1]SAP!G217</f>
        <v>0</v>
      </c>
      <c r="H217" s="34">
        <f>[1]FPG!H217+'[1]C.E.'!H217+[1]SAP!H217</f>
        <v>0</v>
      </c>
      <c r="I217" s="34">
        <f>[1]FPG!I217+'[1]C.E.'!I217+[1]SAP!I217</f>
        <v>0</v>
      </c>
      <c r="J217" s="34">
        <f>[1]FPG!J217+'[1]C.E.'!J217+[1]SAP!J217</f>
        <v>0</v>
      </c>
      <c r="K217" s="34">
        <f>[1]FPG!K217+'[1]C.E.'!K217+[1]SAP!K217</f>
        <v>0</v>
      </c>
      <c r="L217" s="34">
        <f>[1]FPG!L217+'[1]C.E.'!L217+[1]SAP!L217</f>
        <v>0</v>
      </c>
      <c r="M217" s="34">
        <f>[1]FPG!M217+'[1]C.E.'!M217+[1]SAP!M217</f>
        <v>0</v>
      </c>
      <c r="N217" s="34">
        <f>[1]FPG!N217+'[1]C.E.'!N217+[1]SAP!N217</f>
        <v>0</v>
      </c>
      <c r="O217" s="34">
        <f>[1]FPG!O217+'[1]C.E.'!O217+[1]SAP!O217</f>
        <v>0</v>
      </c>
      <c r="P217" s="34">
        <f>[1]FPG!P217+'[1]C.E.'!P217+[1]SAP!P217</f>
        <v>0</v>
      </c>
      <c r="Q217" s="34">
        <f>[1]FPG!Q217+'[1]C.E.'!Q217+[1]SAP!Q217</f>
        <v>0</v>
      </c>
      <c r="R217" s="27"/>
      <c r="S217" s="35">
        <f t="shared" si="22"/>
        <v>0</v>
      </c>
      <c r="T217" s="36">
        <f t="shared" si="25"/>
        <v>0</v>
      </c>
      <c r="V217" s="21">
        <f>S217-[1]FPG!S217-'[1]C.E.'!S217</f>
        <v>0</v>
      </c>
      <c r="W217" s="22"/>
    </row>
    <row r="218" spans="1:23" hidden="1" outlineLevel="1" x14ac:dyDescent="0.2">
      <c r="A218" s="9"/>
      <c r="B218" s="48"/>
      <c r="C218" s="31">
        <v>400324</v>
      </c>
      <c r="D218" s="32" t="s">
        <v>115</v>
      </c>
      <c r="E218" s="33"/>
      <c r="F218" s="34">
        <f>[1]FPG!F218+'[1]C.E.'!F218+[1]SAP!F218</f>
        <v>0</v>
      </c>
      <c r="G218" s="34">
        <f>[1]FPG!G218+'[1]C.E.'!G218+[1]SAP!G218</f>
        <v>0</v>
      </c>
      <c r="H218" s="34">
        <f>[1]FPG!H218+'[1]C.E.'!H218+[1]SAP!H218</f>
        <v>0</v>
      </c>
      <c r="I218" s="34">
        <f>[1]FPG!I218+'[1]C.E.'!I218+[1]SAP!I218</f>
        <v>0</v>
      </c>
      <c r="J218" s="34">
        <f>[1]FPG!J218+'[1]C.E.'!J218+[1]SAP!J218</f>
        <v>0</v>
      </c>
      <c r="K218" s="34">
        <f>[1]FPG!K218+'[1]C.E.'!K218+[1]SAP!K218</f>
        <v>0</v>
      </c>
      <c r="L218" s="34">
        <f>[1]FPG!L218+'[1]C.E.'!L218+[1]SAP!L218</f>
        <v>0</v>
      </c>
      <c r="M218" s="34">
        <f>[1]FPG!M218+'[1]C.E.'!M218+[1]SAP!M218</f>
        <v>0</v>
      </c>
      <c r="N218" s="34">
        <f>[1]FPG!N218+'[1]C.E.'!N218+[1]SAP!N218</f>
        <v>0</v>
      </c>
      <c r="O218" s="34">
        <f>[1]FPG!O218+'[1]C.E.'!O218+[1]SAP!O218</f>
        <v>0</v>
      </c>
      <c r="P218" s="34">
        <f>[1]FPG!P218+'[1]C.E.'!P218+[1]SAP!P218</f>
        <v>0</v>
      </c>
      <c r="Q218" s="34">
        <f>[1]FPG!Q218+'[1]C.E.'!Q218+[1]SAP!Q218</f>
        <v>0</v>
      </c>
      <c r="R218" s="27"/>
      <c r="S218" s="35">
        <f t="shared" si="22"/>
        <v>0</v>
      </c>
      <c r="T218" s="36">
        <f t="shared" si="25"/>
        <v>0</v>
      </c>
      <c r="V218" s="21">
        <f>S218-[1]FPG!S218-'[1]C.E.'!S218</f>
        <v>0</v>
      </c>
      <c r="W218" s="22"/>
    </row>
    <row r="219" spans="1:23" hidden="1" outlineLevel="1" x14ac:dyDescent="0.2">
      <c r="A219" s="9"/>
      <c r="B219" s="48"/>
      <c r="C219" s="31">
        <v>400325</v>
      </c>
      <c r="D219" s="32" t="s">
        <v>116</v>
      </c>
      <c r="E219" s="33"/>
      <c r="F219" s="34">
        <f>[1]FPG!F219+'[1]C.E.'!F219+[1]SAP!F219</f>
        <v>0</v>
      </c>
      <c r="G219" s="34">
        <f>[1]FPG!G219+'[1]C.E.'!G219+[1]SAP!G219</f>
        <v>0</v>
      </c>
      <c r="H219" s="34">
        <f>[1]FPG!H219+'[1]C.E.'!H219+[1]SAP!H219</f>
        <v>0</v>
      </c>
      <c r="I219" s="34">
        <f>[1]FPG!I219+'[1]C.E.'!I219+[1]SAP!I219</f>
        <v>0</v>
      </c>
      <c r="J219" s="34">
        <f>[1]FPG!J219+'[1]C.E.'!J219+[1]SAP!J219</f>
        <v>0</v>
      </c>
      <c r="K219" s="34">
        <f>[1]FPG!K219+'[1]C.E.'!K219+[1]SAP!K219</f>
        <v>0</v>
      </c>
      <c r="L219" s="34">
        <f>[1]FPG!L219+'[1]C.E.'!L219+[1]SAP!L219</f>
        <v>0</v>
      </c>
      <c r="M219" s="34">
        <f>[1]FPG!M219+'[1]C.E.'!M219+[1]SAP!M219</f>
        <v>0</v>
      </c>
      <c r="N219" s="34">
        <f>[1]FPG!N219+'[1]C.E.'!N219+[1]SAP!N219</f>
        <v>0</v>
      </c>
      <c r="O219" s="34">
        <f>[1]FPG!O219+'[1]C.E.'!O219+[1]SAP!O219</f>
        <v>0</v>
      </c>
      <c r="P219" s="34">
        <f>[1]FPG!P219+'[1]C.E.'!P219+[1]SAP!P219</f>
        <v>0</v>
      </c>
      <c r="Q219" s="34">
        <f>[1]FPG!Q219+'[1]C.E.'!Q219+[1]SAP!Q219</f>
        <v>0</v>
      </c>
      <c r="R219" s="27"/>
      <c r="S219" s="35">
        <f t="shared" si="22"/>
        <v>0</v>
      </c>
      <c r="T219" s="36">
        <f t="shared" si="25"/>
        <v>0</v>
      </c>
      <c r="V219" s="21">
        <f>S219-[1]FPG!S219-'[1]C.E.'!S219</f>
        <v>0</v>
      </c>
      <c r="W219" s="22"/>
    </row>
    <row r="220" spans="1:23" hidden="1" outlineLevel="1" x14ac:dyDescent="0.2">
      <c r="A220" s="9"/>
      <c r="B220" s="48"/>
      <c r="C220" s="31">
        <v>400326</v>
      </c>
      <c r="D220" s="32" t="s">
        <v>118</v>
      </c>
      <c r="E220" s="33"/>
      <c r="F220" s="34">
        <f>[1]FPG!F220+'[1]C.E.'!F220+[1]SAP!F220</f>
        <v>0</v>
      </c>
      <c r="G220" s="34">
        <f>[1]FPG!G220+'[1]C.E.'!G220+[1]SAP!G220</f>
        <v>0</v>
      </c>
      <c r="H220" s="34">
        <f>[1]FPG!H220+'[1]C.E.'!H220+[1]SAP!H220</f>
        <v>0</v>
      </c>
      <c r="I220" s="34">
        <f>[1]FPG!I220+'[1]C.E.'!I220+[1]SAP!I220</f>
        <v>0</v>
      </c>
      <c r="J220" s="34">
        <f>[1]FPG!J220+'[1]C.E.'!J220+[1]SAP!J220</f>
        <v>0</v>
      </c>
      <c r="K220" s="34">
        <f>[1]FPG!K220+'[1]C.E.'!K220+[1]SAP!K220</f>
        <v>0</v>
      </c>
      <c r="L220" s="34">
        <f>[1]FPG!L220+'[1]C.E.'!L220+[1]SAP!L220</f>
        <v>0</v>
      </c>
      <c r="M220" s="34">
        <f>[1]FPG!M220+'[1]C.E.'!M220+[1]SAP!M220</f>
        <v>0</v>
      </c>
      <c r="N220" s="34">
        <f>[1]FPG!N220+'[1]C.E.'!N220+[1]SAP!N220</f>
        <v>0</v>
      </c>
      <c r="O220" s="34">
        <f>[1]FPG!O220+'[1]C.E.'!O220+[1]SAP!O220</f>
        <v>0</v>
      </c>
      <c r="P220" s="34">
        <f>[1]FPG!P220+'[1]C.E.'!P220+[1]SAP!P220</f>
        <v>0</v>
      </c>
      <c r="Q220" s="34">
        <f>[1]FPG!Q220+'[1]C.E.'!Q220+[1]SAP!Q220</f>
        <v>0</v>
      </c>
      <c r="R220" s="27"/>
      <c r="S220" s="35">
        <f t="shared" si="22"/>
        <v>0</v>
      </c>
      <c r="T220" s="36">
        <f t="shared" si="25"/>
        <v>0</v>
      </c>
      <c r="V220" s="21">
        <f>S220-[1]FPG!S220-'[1]C.E.'!S220</f>
        <v>0</v>
      </c>
      <c r="W220" s="22"/>
    </row>
    <row r="221" spans="1:23" hidden="1" outlineLevel="1" x14ac:dyDescent="0.2">
      <c r="A221" s="9"/>
      <c r="B221" s="48"/>
      <c r="C221" s="31">
        <v>400327</v>
      </c>
      <c r="D221" s="32" t="s">
        <v>122</v>
      </c>
      <c r="E221" s="33"/>
      <c r="F221" s="34">
        <f>[1]FPG!F221+'[1]C.E.'!F221+[1]SAP!F221</f>
        <v>0</v>
      </c>
      <c r="G221" s="34">
        <f>[1]FPG!G221+'[1]C.E.'!G221+[1]SAP!G221</f>
        <v>0</v>
      </c>
      <c r="H221" s="34">
        <f>[1]FPG!H221+'[1]C.E.'!H221+[1]SAP!H221</f>
        <v>0</v>
      </c>
      <c r="I221" s="34">
        <f>[1]FPG!I221+'[1]C.E.'!I221+[1]SAP!I221</f>
        <v>0</v>
      </c>
      <c r="J221" s="34">
        <f>[1]FPG!J221+'[1]C.E.'!J221+[1]SAP!J221</f>
        <v>0</v>
      </c>
      <c r="K221" s="34">
        <f>[1]FPG!K221+'[1]C.E.'!K221+[1]SAP!K221</f>
        <v>0</v>
      </c>
      <c r="L221" s="34">
        <f>[1]FPG!L221+'[1]C.E.'!L221+[1]SAP!L221</f>
        <v>0</v>
      </c>
      <c r="M221" s="34">
        <f>[1]FPG!M221+'[1]C.E.'!M221+[1]SAP!M221</f>
        <v>0</v>
      </c>
      <c r="N221" s="34">
        <f>[1]FPG!N221+'[1]C.E.'!N221+[1]SAP!N221</f>
        <v>0</v>
      </c>
      <c r="O221" s="34">
        <f>[1]FPG!O221+'[1]C.E.'!O221+[1]SAP!O221</f>
        <v>0</v>
      </c>
      <c r="P221" s="34">
        <f>[1]FPG!P221+'[1]C.E.'!P221+[1]SAP!P221</f>
        <v>0</v>
      </c>
      <c r="Q221" s="34">
        <f>[1]FPG!Q221+'[1]C.E.'!Q221+[1]SAP!Q221</f>
        <v>0</v>
      </c>
      <c r="R221" s="27"/>
      <c r="S221" s="35">
        <f t="shared" si="22"/>
        <v>0</v>
      </c>
      <c r="T221" s="36">
        <f t="shared" si="25"/>
        <v>0</v>
      </c>
      <c r="V221" s="21">
        <f>S221-[1]FPG!S221-'[1]C.E.'!S221</f>
        <v>0</v>
      </c>
      <c r="W221" s="22"/>
    </row>
    <row r="222" spans="1:23" hidden="1" outlineLevel="1" x14ac:dyDescent="0.2">
      <c r="A222" s="9"/>
      <c r="B222" s="48"/>
      <c r="C222" s="31">
        <v>400328</v>
      </c>
      <c r="D222" s="32" t="s">
        <v>123</v>
      </c>
      <c r="E222" s="33"/>
      <c r="F222" s="34">
        <f>[1]FPG!F222+'[1]C.E.'!F222+[1]SAP!F222</f>
        <v>0</v>
      </c>
      <c r="G222" s="34">
        <f>[1]FPG!G222+'[1]C.E.'!G222+[1]SAP!G222</f>
        <v>0</v>
      </c>
      <c r="H222" s="34">
        <f>[1]FPG!H222+'[1]C.E.'!H222+[1]SAP!H222</f>
        <v>0</v>
      </c>
      <c r="I222" s="34">
        <f>[1]FPG!I222+'[1]C.E.'!I222+[1]SAP!I222</f>
        <v>0</v>
      </c>
      <c r="J222" s="34">
        <f>[1]FPG!J222+'[1]C.E.'!J222+[1]SAP!J222</f>
        <v>0</v>
      </c>
      <c r="K222" s="34">
        <f>[1]FPG!K222+'[1]C.E.'!K222+[1]SAP!K222</f>
        <v>0</v>
      </c>
      <c r="L222" s="34">
        <f>[1]FPG!L222+'[1]C.E.'!L222+[1]SAP!L222</f>
        <v>0</v>
      </c>
      <c r="M222" s="34">
        <f>[1]FPG!M222+'[1]C.E.'!M222+[1]SAP!M222</f>
        <v>0</v>
      </c>
      <c r="N222" s="34">
        <f>[1]FPG!N222+'[1]C.E.'!N222+[1]SAP!N222</f>
        <v>0</v>
      </c>
      <c r="O222" s="34">
        <f>[1]FPG!O222+'[1]C.E.'!O222+[1]SAP!O222</f>
        <v>0</v>
      </c>
      <c r="P222" s="34">
        <f>[1]FPG!P222+'[1]C.E.'!P222+[1]SAP!P222</f>
        <v>0</v>
      </c>
      <c r="Q222" s="34">
        <f>[1]FPG!Q222+'[1]C.E.'!Q222+[1]SAP!Q222</f>
        <v>0</v>
      </c>
      <c r="R222" s="27"/>
      <c r="S222" s="35">
        <f t="shared" si="22"/>
        <v>0</v>
      </c>
      <c r="T222" s="36">
        <f t="shared" si="25"/>
        <v>0</v>
      </c>
      <c r="V222" s="21">
        <f>S222-[1]FPG!S222-'[1]C.E.'!S222</f>
        <v>0</v>
      </c>
      <c r="W222" s="22"/>
    </row>
    <row r="223" spans="1:23" hidden="1" outlineLevel="1" x14ac:dyDescent="0.2">
      <c r="A223" s="9"/>
      <c r="B223" s="48"/>
      <c r="C223" s="31">
        <v>400329</v>
      </c>
      <c r="D223" s="32" t="s">
        <v>124</v>
      </c>
      <c r="E223" s="33"/>
      <c r="F223" s="34">
        <f>[1]FPG!F223+'[1]C.E.'!F223+[1]SAP!F223</f>
        <v>0</v>
      </c>
      <c r="G223" s="34">
        <f>[1]FPG!G223+'[1]C.E.'!G223+[1]SAP!G223</f>
        <v>0</v>
      </c>
      <c r="H223" s="34">
        <f>[1]FPG!H223+'[1]C.E.'!H223+[1]SAP!H223</f>
        <v>0</v>
      </c>
      <c r="I223" s="34">
        <f>[1]FPG!I223+'[1]C.E.'!I223+[1]SAP!I223</f>
        <v>0</v>
      </c>
      <c r="J223" s="34">
        <f>[1]FPG!J223+'[1]C.E.'!J223+[1]SAP!J223</f>
        <v>0</v>
      </c>
      <c r="K223" s="34">
        <f>[1]FPG!K223+'[1]C.E.'!K223+[1]SAP!K223</f>
        <v>0</v>
      </c>
      <c r="L223" s="34">
        <f>[1]FPG!L223+'[1]C.E.'!L223+[1]SAP!L223</f>
        <v>0</v>
      </c>
      <c r="M223" s="34">
        <f>[1]FPG!M223+'[1]C.E.'!M223+[1]SAP!M223</f>
        <v>0</v>
      </c>
      <c r="N223" s="34">
        <f>[1]FPG!N223+'[1]C.E.'!N223+[1]SAP!N223</f>
        <v>0</v>
      </c>
      <c r="O223" s="34">
        <f>[1]FPG!O223+'[1]C.E.'!O223+[1]SAP!O223</f>
        <v>0</v>
      </c>
      <c r="P223" s="34">
        <f>[1]FPG!P223+'[1]C.E.'!P223+[1]SAP!P223</f>
        <v>0</v>
      </c>
      <c r="Q223" s="34">
        <f>[1]FPG!Q223+'[1]C.E.'!Q223+[1]SAP!Q223</f>
        <v>0</v>
      </c>
      <c r="R223" s="27"/>
      <c r="S223" s="35">
        <f t="shared" si="22"/>
        <v>0</v>
      </c>
      <c r="T223" s="36">
        <f t="shared" si="25"/>
        <v>0</v>
      </c>
      <c r="V223" s="21">
        <f>S223-[1]FPG!S223-'[1]C.E.'!S223</f>
        <v>0</v>
      </c>
      <c r="W223" s="22"/>
    </row>
    <row r="224" spans="1:23" hidden="1" outlineLevel="1" x14ac:dyDescent="0.2">
      <c r="A224" s="9"/>
      <c r="B224" s="48"/>
      <c r="C224" s="31">
        <v>400330</v>
      </c>
      <c r="D224" s="32" t="s">
        <v>125</v>
      </c>
      <c r="E224" s="33"/>
      <c r="F224" s="34">
        <f>[1]FPG!F224+'[1]C.E.'!F224+[1]SAP!F224</f>
        <v>0</v>
      </c>
      <c r="G224" s="34">
        <f>[1]FPG!G224+'[1]C.E.'!G224+[1]SAP!G224</f>
        <v>0</v>
      </c>
      <c r="H224" s="34">
        <f>[1]FPG!H224+'[1]C.E.'!H224+[1]SAP!H224</f>
        <v>0</v>
      </c>
      <c r="I224" s="34">
        <f>[1]FPG!I224+'[1]C.E.'!I224+[1]SAP!I224</f>
        <v>0</v>
      </c>
      <c r="J224" s="34">
        <f>[1]FPG!J224+'[1]C.E.'!J224+[1]SAP!J224</f>
        <v>0</v>
      </c>
      <c r="K224" s="34">
        <f>[1]FPG!K224+'[1]C.E.'!K224+[1]SAP!K224</f>
        <v>0</v>
      </c>
      <c r="L224" s="34">
        <f>[1]FPG!L224+'[1]C.E.'!L224+[1]SAP!L224</f>
        <v>0</v>
      </c>
      <c r="M224" s="34">
        <f>[1]FPG!M224+'[1]C.E.'!M224+[1]SAP!M224</f>
        <v>0</v>
      </c>
      <c r="N224" s="34">
        <f>[1]FPG!N224+'[1]C.E.'!N224+[1]SAP!N224</f>
        <v>0</v>
      </c>
      <c r="O224" s="34">
        <f>[1]FPG!O224+'[1]C.E.'!O224+[1]SAP!O224</f>
        <v>0</v>
      </c>
      <c r="P224" s="34">
        <f>[1]FPG!P224+'[1]C.E.'!P224+[1]SAP!P224</f>
        <v>0</v>
      </c>
      <c r="Q224" s="34">
        <f>[1]FPG!Q224+'[1]C.E.'!Q224+[1]SAP!Q224</f>
        <v>0</v>
      </c>
      <c r="R224" s="27"/>
      <c r="S224" s="35">
        <f t="shared" si="22"/>
        <v>0</v>
      </c>
      <c r="T224" s="36">
        <f t="shared" si="25"/>
        <v>0</v>
      </c>
      <c r="V224" s="21">
        <f>S224-[1]FPG!S224-'[1]C.E.'!S224</f>
        <v>0</v>
      </c>
      <c r="W224" s="22"/>
    </row>
    <row r="225" spans="1:23" hidden="1" outlineLevel="1" x14ac:dyDescent="0.2">
      <c r="A225" s="9"/>
      <c r="B225" s="48"/>
      <c r="C225" s="31">
        <v>400331</v>
      </c>
      <c r="D225" s="32" t="s">
        <v>127</v>
      </c>
      <c r="E225" s="33"/>
      <c r="F225" s="34">
        <f>[1]FPG!F225+'[1]C.E.'!F225+[1]SAP!F225</f>
        <v>0</v>
      </c>
      <c r="G225" s="34">
        <f>[1]FPG!G225+'[1]C.E.'!G225+[1]SAP!G225</f>
        <v>0</v>
      </c>
      <c r="H225" s="34">
        <f>[1]FPG!H225+'[1]C.E.'!H225+[1]SAP!H225</f>
        <v>0</v>
      </c>
      <c r="I225" s="34">
        <f>[1]FPG!I225+'[1]C.E.'!I225+[1]SAP!I225</f>
        <v>0</v>
      </c>
      <c r="J225" s="34">
        <f>[1]FPG!J225+'[1]C.E.'!J225+[1]SAP!J225</f>
        <v>0</v>
      </c>
      <c r="K225" s="34">
        <f>[1]FPG!K225+'[1]C.E.'!K225+[1]SAP!K225</f>
        <v>0</v>
      </c>
      <c r="L225" s="34">
        <f>[1]FPG!L225+'[1]C.E.'!L225+[1]SAP!L225</f>
        <v>0</v>
      </c>
      <c r="M225" s="34">
        <f>[1]FPG!M225+'[1]C.E.'!M225+[1]SAP!M225</f>
        <v>0</v>
      </c>
      <c r="N225" s="34">
        <f>[1]FPG!N225+'[1]C.E.'!N225+[1]SAP!N225</f>
        <v>0</v>
      </c>
      <c r="O225" s="34">
        <f>[1]FPG!O225+'[1]C.E.'!O225+[1]SAP!O225</f>
        <v>0</v>
      </c>
      <c r="P225" s="34">
        <f>[1]FPG!P225+'[1]C.E.'!P225+[1]SAP!P225</f>
        <v>0</v>
      </c>
      <c r="Q225" s="34">
        <f>[1]FPG!Q225+'[1]C.E.'!Q225+[1]SAP!Q225</f>
        <v>0</v>
      </c>
      <c r="R225" s="27"/>
      <c r="S225" s="35">
        <f t="shared" si="22"/>
        <v>0</v>
      </c>
      <c r="T225" s="36">
        <f t="shared" si="25"/>
        <v>0</v>
      </c>
      <c r="V225" s="21">
        <f>S225-[1]FPG!S225-'[1]C.E.'!S225</f>
        <v>0</v>
      </c>
      <c r="W225" s="22"/>
    </row>
    <row r="226" spans="1:23" hidden="1" outlineLevel="1" x14ac:dyDescent="0.2">
      <c r="A226" s="9"/>
      <c r="B226" s="48"/>
      <c r="C226" s="31">
        <v>400332</v>
      </c>
      <c r="D226" s="32" t="s">
        <v>129</v>
      </c>
      <c r="E226" s="33"/>
      <c r="F226" s="34">
        <f>[1]FPG!F226+'[1]C.E.'!F226+[1]SAP!F226</f>
        <v>0</v>
      </c>
      <c r="G226" s="34">
        <f>[1]FPG!G226+'[1]C.E.'!G226+[1]SAP!G226</f>
        <v>0</v>
      </c>
      <c r="H226" s="34">
        <f>[1]FPG!H226+'[1]C.E.'!H226+[1]SAP!H226</f>
        <v>0</v>
      </c>
      <c r="I226" s="34">
        <f>[1]FPG!I226+'[1]C.E.'!I226+[1]SAP!I226</f>
        <v>0</v>
      </c>
      <c r="J226" s="34">
        <f>[1]FPG!J226+'[1]C.E.'!J226+[1]SAP!J226</f>
        <v>0</v>
      </c>
      <c r="K226" s="34">
        <f>[1]FPG!K226+'[1]C.E.'!K226+[1]SAP!K226</f>
        <v>0</v>
      </c>
      <c r="L226" s="34">
        <f>[1]FPG!L226+'[1]C.E.'!L226+[1]SAP!L226</f>
        <v>0</v>
      </c>
      <c r="M226" s="34">
        <f>[1]FPG!M226+'[1]C.E.'!M226+[1]SAP!M226</f>
        <v>0</v>
      </c>
      <c r="N226" s="34">
        <f>[1]FPG!N226+'[1]C.E.'!N226+[1]SAP!N226</f>
        <v>0</v>
      </c>
      <c r="O226" s="34">
        <f>[1]FPG!O226+'[1]C.E.'!O226+[1]SAP!O226</f>
        <v>0</v>
      </c>
      <c r="P226" s="34">
        <f>[1]FPG!P226+'[1]C.E.'!P226+[1]SAP!P226</f>
        <v>0</v>
      </c>
      <c r="Q226" s="34">
        <f>[1]FPG!Q226+'[1]C.E.'!Q226+[1]SAP!Q226</f>
        <v>0</v>
      </c>
      <c r="R226" s="27"/>
      <c r="S226" s="35">
        <f t="shared" si="22"/>
        <v>0</v>
      </c>
      <c r="T226" s="36">
        <f t="shared" si="25"/>
        <v>0</v>
      </c>
      <c r="V226" s="21">
        <f>S226-[1]FPG!S226-'[1]C.E.'!S226</f>
        <v>0</v>
      </c>
      <c r="W226" s="22"/>
    </row>
    <row r="227" spans="1:23" hidden="1" outlineLevel="1" x14ac:dyDescent="0.2">
      <c r="A227" s="9"/>
      <c r="B227" s="48"/>
      <c r="C227" s="31">
        <v>400333</v>
      </c>
      <c r="D227" s="32" t="s">
        <v>200</v>
      </c>
      <c r="E227" s="33"/>
      <c r="F227" s="34">
        <f>[1]FPG!F227+'[1]C.E.'!F227+[1]SAP!F227</f>
        <v>0</v>
      </c>
      <c r="G227" s="34">
        <f>[1]FPG!G227+'[1]C.E.'!G227+[1]SAP!G227</f>
        <v>0</v>
      </c>
      <c r="H227" s="34">
        <f>[1]FPG!H227+'[1]C.E.'!H227+[1]SAP!H227</f>
        <v>0</v>
      </c>
      <c r="I227" s="34">
        <f>[1]FPG!I227+'[1]C.E.'!I227+[1]SAP!I227</f>
        <v>0</v>
      </c>
      <c r="J227" s="34">
        <f>[1]FPG!J227+'[1]C.E.'!J227+[1]SAP!J227</f>
        <v>0</v>
      </c>
      <c r="K227" s="34">
        <f>[1]FPG!K227+'[1]C.E.'!K227+[1]SAP!K227</f>
        <v>0</v>
      </c>
      <c r="L227" s="34">
        <f>[1]FPG!L227+'[1]C.E.'!L227+[1]SAP!L227</f>
        <v>0</v>
      </c>
      <c r="M227" s="34">
        <f>[1]FPG!M227+'[1]C.E.'!M227+[1]SAP!M227</f>
        <v>0</v>
      </c>
      <c r="N227" s="34">
        <f>[1]FPG!N227+'[1]C.E.'!N227+[1]SAP!N227</f>
        <v>0</v>
      </c>
      <c r="O227" s="34">
        <f>[1]FPG!O227+'[1]C.E.'!O227+[1]SAP!O227</f>
        <v>0</v>
      </c>
      <c r="P227" s="34">
        <f>[1]FPG!P227+'[1]C.E.'!P227+[1]SAP!P227</f>
        <v>0</v>
      </c>
      <c r="Q227" s="34">
        <f>[1]FPG!Q227+'[1]C.E.'!Q227+[1]SAP!Q227</f>
        <v>0</v>
      </c>
      <c r="R227" s="27"/>
      <c r="S227" s="35">
        <f t="shared" si="22"/>
        <v>0</v>
      </c>
      <c r="T227" s="36">
        <f t="shared" si="25"/>
        <v>0</v>
      </c>
      <c r="V227" s="21">
        <f>S227-[1]FPG!S227-'[1]C.E.'!S227</f>
        <v>0</v>
      </c>
      <c r="W227" s="22"/>
    </row>
    <row r="228" spans="1:23" hidden="1" outlineLevel="1" x14ac:dyDescent="0.2">
      <c r="A228" s="9"/>
      <c r="B228" s="48"/>
      <c r="C228" s="31">
        <v>400334</v>
      </c>
      <c r="D228" s="32" t="s">
        <v>128</v>
      </c>
      <c r="E228" s="33"/>
      <c r="F228" s="34">
        <f>[1]FPG!F228+'[1]C.E.'!F228+[1]SAP!F228</f>
        <v>0</v>
      </c>
      <c r="G228" s="34">
        <f>[1]FPG!G228+'[1]C.E.'!G228+[1]SAP!G228</f>
        <v>0</v>
      </c>
      <c r="H228" s="34">
        <f>[1]FPG!H228+'[1]C.E.'!H228+[1]SAP!H228</f>
        <v>0</v>
      </c>
      <c r="I228" s="34">
        <f>[1]FPG!I228+'[1]C.E.'!I228+[1]SAP!I228</f>
        <v>0</v>
      </c>
      <c r="J228" s="34">
        <f>[1]FPG!J228+'[1]C.E.'!J228+[1]SAP!J228</f>
        <v>0</v>
      </c>
      <c r="K228" s="34">
        <f>[1]FPG!K228+'[1]C.E.'!K228+[1]SAP!K228</f>
        <v>0</v>
      </c>
      <c r="L228" s="34">
        <f>[1]FPG!L228+'[1]C.E.'!L228+[1]SAP!L228</f>
        <v>0</v>
      </c>
      <c r="M228" s="34">
        <f>[1]FPG!M228+'[1]C.E.'!M228+[1]SAP!M228</f>
        <v>0</v>
      </c>
      <c r="N228" s="34">
        <f>[1]FPG!N228+'[1]C.E.'!N228+[1]SAP!N228</f>
        <v>0</v>
      </c>
      <c r="O228" s="34">
        <f>[1]FPG!O228+'[1]C.E.'!O228+[1]SAP!O228</f>
        <v>0</v>
      </c>
      <c r="P228" s="34">
        <f>[1]FPG!P228+'[1]C.E.'!P228+[1]SAP!P228</f>
        <v>0</v>
      </c>
      <c r="Q228" s="34">
        <f>[1]FPG!Q228+'[1]C.E.'!Q228+[1]SAP!Q228</f>
        <v>0</v>
      </c>
      <c r="R228" s="27"/>
      <c r="S228" s="35">
        <f t="shared" si="22"/>
        <v>0</v>
      </c>
      <c r="T228" s="36">
        <f t="shared" si="25"/>
        <v>0</v>
      </c>
      <c r="V228" s="21">
        <f>S228-[1]FPG!S228-'[1]C.E.'!S228</f>
        <v>0</v>
      </c>
      <c r="W228" s="22"/>
    </row>
    <row r="229" spans="1:23" hidden="1" outlineLevel="1" x14ac:dyDescent="0.2">
      <c r="A229" s="9"/>
      <c r="B229" s="48"/>
      <c r="C229" s="31">
        <v>400335</v>
      </c>
      <c r="D229" s="32" t="s">
        <v>201</v>
      </c>
      <c r="E229" s="33"/>
      <c r="F229" s="34">
        <f>[1]FPG!F229+'[1]C.E.'!F229+[1]SAP!F229</f>
        <v>0</v>
      </c>
      <c r="G229" s="34">
        <f>[1]FPG!G229+'[1]C.E.'!G229+[1]SAP!G229</f>
        <v>0</v>
      </c>
      <c r="H229" s="34">
        <f>[1]FPG!H229+'[1]C.E.'!H229+[1]SAP!H229</f>
        <v>0</v>
      </c>
      <c r="I229" s="34">
        <f>[1]FPG!I229+'[1]C.E.'!I229+[1]SAP!I229</f>
        <v>0</v>
      </c>
      <c r="J229" s="34">
        <f>[1]FPG!J229+'[1]C.E.'!J229+[1]SAP!J229</f>
        <v>0</v>
      </c>
      <c r="K229" s="34">
        <f>[1]FPG!K229+'[1]C.E.'!K229+[1]SAP!K229</f>
        <v>0</v>
      </c>
      <c r="L229" s="34">
        <f>[1]FPG!L229+'[1]C.E.'!L229+[1]SAP!L229</f>
        <v>0</v>
      </c>
      <c r="M229" s="34">
        <f>[1]FPG!M229+'[1]C.E.'!M229+[1]SAP!M229</f>
        <v>0</v>
      </c>
      <c r="N229" s="34">
        <f>[1]FPG!N229+'[1]C.E.'!N229+[1]SAP!N229</f>
        <v>0</v>
      </c>
      <c r="O229" s="34">
        <f>[1]FPG!O229+'[1]C.E.'!O229+[1]SAP!O229</f>
        <v>0</v>
      </c>
      <c r="P229" s="34">
        <f>[1]FPG!P229+'[1]C.E.'!P229+[1]SAP!P229</f>
        <v>0</v>
      </c>
      <c r="Q229" s="34">
        <f>[1]FPG!Q229+'[1]C.E.'!Q229+[1]SAP!Q229</f>
        <v>0</v>
      </c>
      <c r="R229" s="27"/>
      <c r="S229" s="35">
        <f t="shared" si="22"/>
        <v>0</v>
      </c>
      <c r="T229" s="36">
        <f t="shared" si="25"/>
        <v>0</v>
      </c>
      <c r="V229" s="21">
        <f>S229-[1]FPG!S229-'[1]C.E.'!S229</f>
        <v>0</v>
      </c>
      <c r="W229" s="22"/>
    </row>
    <row r="230" spans="1:23" hidden="1" outlineLevel="1" x14ac:dyDescent="0.2">
      <c r="A230" s="9"/>
      <c r="B230" s="48"/>
      <c r="C230" s="31">
        <v>400336</v>
      </c>
      <c r="D230" s="32" t="s">
        <v>202</v>
      </c>
      <c r="E230" s="33"/>
      <c r="F230" s="34">
        <f>[1]FPG!F230+'[1]C.E.'!F230+[1]SAP!F230</f>
        <v>0</v>
      </c>
      <c r="G230" s="34">
        <f>[1]FPG!G230+'[1]C.E.'!G230+[1]SAP!G230</f>
        <v>0</v>
      </c>
      <c r="H230" s="34">
        <f>[1]FPG!H230+'[1]C.E.'!H230+[1]SAP!H230</f>
        <v>0</v>
      </c>
      <c r="I230" s="34">
        <f>[1]FPG!I230+'[1]C.E.'!I230+[1]SAP!I230</f>
        <v>0</v>
      </c>
      <c r="J230" s="34">
        <f>[1]FPG!J230+'[1]C.E.'!J230+[1]SAP!J230</f>
        <v>0</v>
      </c>
      <c r="K230" s="34">
        <f>[1]FPG!K230+'[1]C.E.'!K230+[1]SAP!K230</f>
        <v>0</v>
      </c>
      <c r="L230" s="34">
        <f>[1]FPG!L230+'[1]C.E.'!L230+[1]SAP!L230</f>
        <v>0</v>
      </c>
      <c r="M230" s="34">
        <f>[1]FPG!M230+'[1]C.E.'!M230+[1]SAP!M230</f>
        <v>0</v>
      </c>
      <c r="N230" s="34">
        <f>[1]FPG!N230+'[1]C.E.'!N230+[1]SAP!N230</f>
        <v>0</v>
      </c>
      <c r="O230" s="34">
        <f>[1]FPG!O230+'[1]C.E.'!O230+[1]SAP!O230</f>
        <v>0</v>
      </c>
      <c r="P230" s="34">
        <f>[1]FPG!P230+'[1]C.E.'!P230+[1]SAP!P230</f>
        <v>0</v>
      </c>
      <c r="Q230" s="34">
        <f>[1]FPG!Q230+'[1]C.E.'!Q230+[1]SAP!Q230</f>
        <v>0</v>
      </c>
      <c r="R230" s="27"/>
      <c r="S230" s="35">
        <f t="shared" si="22"/>
        <v>0</v>
      </c>
      <c r="T230" s="36">
        <f t="shared" si="25"/>
        <v>0</v>
      </c>
      <c r="V230" s="21">
        <f>S230-[1]FPG!S230-'[1]C.E.'!S230</f>
        <v>0</v>
      </c>
      <c r="W230" s="22"/>
    </row>
    <row r="231" spans="1:23" hidden="1" outlineLevel="1" x14ac:dyDescent="0.2">
      <c r="A231" s="9"/>
      <c r="B231" s="48"/>
      <c r="C231" s="31">
        <v>400337</v>
      </c>
      <c r="D231" s="32" t="s">
        <v>203</v>
      </c>
      <c r="E231" s="33"/>
      <c r="F231" s="34">
        <f>[1]FPG!F231+'[1]C.E.'!F231+[1]SAP!F231</f>
        <v>0</v>
      </c>
      <c r="G231" s="34">
        <f>[1]FPG!G231+'[1]C.E.'!G231+[1]SAP!G231</f>
        <v>0</v>
      </c>
      <c r="H231" s="34">
        <f>[1]FPG!H231+'[1]C.E.'!H231+[1]SAP!H231</f>
        <v>0</v>
      </c>
      <c r="I231" s="34">
        <f>[1]FPG!I231+'[1]C.E.'!I231+[1]SAP!I231</f>
        <v>0</v>
      </c>
      <c r="J231" s="34">
        <f>[1]FPG!J231+'[1]C.E.'!J231+[1]SAP!J231</f>
        <v>0</v>
      </c>
      <c r="K231" s="34">
        <f>[1]FPG!K231+'[1]C.E.'!K231+[1]SAP!K231</f>
        <v>0</v>
      </c>
      <c r="L231" s="34">
        <f>[1]FPG!L231+'[1]C.E.'!L231+[1]SAP!L231</f>
        <v>0</v>
      </c>
      <c r="M231" s="34">
        <f>[1]FPG!M231+'[1]C.E.'!M231+[1]SAP!M231</f>
        <v>0</v>
      </c>
      <c r="N231" s="34">
        <f>[1]FPG!N231+'[1]C.E.'!N231+[1]SAP!N231</f>
        <v>0</v>
      </c>
      <c r="O231" s="34">
        <f>[1]FPG!O231+'[1]C.E.'!O231+[1]SAP!O231</f>
        <v>0</v>
      </c>
      <c r="P231" s="34">
        <f>[1]FPG!P231+'[1]C.E.'!P231+[1]SAP!P231</f>
        <v>0</v>
      </c>
      <c r="Q231" s="34">
        <f>[1]FPG!Q231+'[1]C.E.'!Q231+[1]SAP!Q231</f>
        <v>0</v>
      </c>
      <c r="R231" s="27"/>
      <c r="S231" s="35">
        <f t="shared" si="22"/>
        <v>0</v>
      </c>
      <c r="T231" s="36">
        <f t="shared" si="25"/>
        <v>0</v>
      </c>
      <c r="V231" s="21">
        <f>S231-[1]FPG!S231-'[1]C.E.'!S231</f>
        <v>0</v>
      </c>
      <c r="W231" s="22"/>
    </row>
    <row r="232" spans="1:23" hidden="1" outlineLevel="1" x14ac:dyDescent="0.2">
      <c r="A232" s="9"/>
      <c r="B232" s="48"/>
      <c r="C232" s="31">
        <v>400338</v>
      </c>
      <c r="D232" s="44" t="s">
        <v>204</v>
      </c>
      <c r="E232" s="33"/>
      <c r="F232" s="34">
        <f>[1]FPG!F232+'[1]C.E.'!F232+[1]SAP!F232</f>
        <v>0</v>
      </c>
      <c r="G232" s="34">
        <f>[1]FPG!G232+'[1]C.E.'!G232+[1]SAP!G232</f>
        <v>0</v>
      </c>
      <c r="H232" s="34">
        <f>[1]FPG!H232+'[1]C.E.'!H232+[1]SAP!H232</f>
        <v>0</v>
      </c>
      <c r="I232" s="34">
        <f>[1]FPG!I232+'[1]C.E.'!I232+[1]SAP!I232</f>
        <v>0</v>
      </c>
      <c r="J232" s="34">
        <f>[1]FPG!J232+'[1]C.E.'!J232+[1]SAP!J232</f>
        <v>0</v>
      </c>
      <c r="K232" s="34">
        <f>[1]FPG!K232+'[1]C.E.'!K232+[1]SAP!K232</f>
        <v>0</v>
      </c>
      <c r="L232" s="34">
        <f>[1]FPG!L232+'[1]C.E.'!L232+[1]SAP!L232</f>
        <v>0</v>
      </c>
      <c r="M232" s="34">
        <f>[1]FPG!M232+'[1]C.E.'!M232+[1]SAP!M232</f>
        <v>0</v>
      </c>
      <c r="N232" s="34">
        <f>[1]FPG!N232+'[1]C.E.'!N232+[1]SAP!N232</f>
        <v>0</v>
      </c>
      <c r="O232" s="34">
        <f>[1]FPG!O232+'[1]C.E.'!O232+[1]SAP!O232</f>
        <v>0</v>
      </c>
      <c r="P232" s="34">
        <f>[1]FPG!P232+'[1]C.E.'!P232+[1]SAP!P232</f>
        <v>0</v>
      </c>
      <c r="Q232" s="34">
        <f>[1]FPG!Q232+'[1]C.E.'!Q232+[1]SAP!Q232</f>
        <v>0</v>
      </c>
      <c r="R232" s="27"/>
      <c r="S232" s="35">
        <f t="shared" si="22"/>
        <v>0</v>
      </c>
      <c r="T232" s="36">
        <f t="shared" si="25"/>
        <v>0</v>
      </c>
      <c r="V232" s="21">
        <f>S232-[1]FPG!S232-'[1]C.E.'!S232</f>
        <v>0</v>
      </c>
      <c r="W232" s="22"/>
    </row>
    <row r="233" spans="1:23" ht="30.6" outlineLevel="1" x14ac:dyDescent="0.2">
      <c r="A233" s="9"/>
      <c r="B233" s="48"/>
      <c r="C233" s="31">
        <v>400339</v>
      </c>
      <c r="D233" s="62" t="s">
        <v>205</v>
      </c>
      <c r="E233" s="33"/>
      <c r="F233" s="34">
        <f>[1]FPG!F233+'[1]C.E.'!F233+[1]SAP!F233</f>
        <v>15000</v>
      </c>
      <c r="G233" s="34">
        <f>[1]FPG!G233+'[1]C.E.'!G233+[1]SAP!G233</f>
        <v>80000</v>
      </c>
      <c r="H233" s="34">
        <f>[1]FPG!H233+'[1]C.E.'!H233+[1]SAP!H233</f>
        <v>40000</v>
      </c>
      <c r="I233" s="34">
        <f>[1]FPG!I233+'[1]C.E.'!I233+[1]SAP!I233</f>
        <v>50000</v>
      </c>
      <c r="J233" s="34">
        <f>[1]FPG!J233+'[1]C.E.'!J233+[1]SAP!J233</f>
        <v>0</v>
      </c>
      <c r="K233" s="34">
        <f>[1]FPG!K233+'[1]C.E.'!K233+[1]SAP!K233</f>
        <v>80000</v>
      </c>
      <c r="L233" s="34">
        <f>[1]FPG!L233+'[1]C.E.'!L233+[1]SAP!L233</f>
        <v>0</v>
      </c>
      <c r="M233" s="34">
        <f>[1]FPG!M233+'[1]C.E.'!M233+[1]SAP!M233</f>
        <v>30000</v>
      </c>
      <c r="N233" s="34">
        <f>[1]FPG!N233+'[1]C.E.'!N233+[1]SAP!N233</f>
        <v>0</v>
      </c>
      <c r="O233" s="34">
        <f>[1]FPG!O233+'[1]C.E.'!O233+[1]SAP!O233</f>
        <v>0</v>
      </c>
      <c r="P233" s="34">
        <f>[1]FPG!P233+'[1]C.E.'!P233+[1]SAP!P233</f>
        <v>0</v>
      </c>
      <c r="Q233" s="34">
        <f>[1]FPG!Q233+'[1]C.E.'!Q233+[1]SAP!Q233</f>
        <v>30000</v>
      </c>
      <c r="R233" s="27"/>
      <c r="S233" s="35">
        <f t="shared" si="22"/>
        <v>325000</v>
      </c>
      <c r="T233" s="36">
        <f t="shared" si="25"/>
        <v>2.7767968153846731E-2</v>
      </c>
      <c r="V233" s="21">
        <f>S233-[1]FPG!S233-'[1]C.E.'!S233</f>
        <v>0</v>
      </c>
      <c r="W233" s="22"/>
    </row>
    <row r="234" spans="1:23" ht="20.399999999999999" outlineLevel="1" x14ac:dyDescent="0.2">
      <c r="A234" s="9"/>
      <c r="B234" s="48"/>
      <c r="C234" s="31">
        <v>400340</v>
      </c>
      <c r="D234" s="62" t="s">
        <v>206</v>
      </c>
      <c r="E234" s="33"/>
      <c r="F234" s="34">
        <f>[1]FPG!F234+'[1]C.E.'!F234+[1]SAP!F234</f>
        <v>0</v>
      </c>
      <c r="G234" s="34">
        <f>[1]FPG!G234+'[1]C.E.'!G234+[1]SAP!G234</f>
        <v>0</v>
      </c>
      <c r="H234" s="34">
        <f>[1]FPG!H234+'[1]C.E.'!H234+[1]SAP!H234</f>
        <v>8000</v>
      </c>
      <c r="I234" s="34">
        <f>[1]FPG!I234+'[1]C.E.'!I234+[1]SAP!I234</f>
        <v>8000</v>
      </c>
      <c r="J234" s="34">
        <f>[1]FPG!J234+'[1]C.E.'!J234+[1]SAP!J234</f>
        <v>8000</v>
      </c>
      <c r="K234" s="34">
        <f>[1]FPG!K234+'[1]C.E.'!K234+[1]SAP!K234</f>
        <v>8000</v>
      </c>
      <c r="L234" s="34">
        <f>[1]FPG!L234+'[1]C.E.'!L234+[1]SAP!L234</f>
        <v>8000</v>
      </c>
      <c r="M234" s="34">
        <f>[1]FPG!M234+'[1]C.E.'!M234+[1]SAP!M234</f>
        <v>8000</v>
      </c>
      <c r="N234" s="34">
        <f>[1]FPG!N234+'[1]C.E.'!N234+[1]SAP!N234</f>
        <v>8000</v>
      </c>
      <c r="O234" s="34">
        <f>[1]FPG!O234+'[1]C.E.'!O234+[1]SAP!O234</f>
        <v>8000</v>
      </c>
      <c r="P234" s="34">
        <f>[1]FPG!P234+'[1]C.E.'!P234+[1]SAP!P234</f>
        <v>8000</v>
      </c>
      <c r="Q234" s="34">
        <f>[1]FPG!Q234+'[1]C.E.'!Q234+[1]SAP!Q234</f>
        <v>8000</v>
      </c>
      <c r="R234" s="27"/>
      <c r="S234" s="35">
        <f t="shared" si="22"/>
        <v>80000</v>
      </c>
      <c r="T234" s="36">
        <f t="shared" si="25"/>
        <v>6.8351921609468872E-3</v>
      </c>
      <c r="V234" s="21">
        <f>S234-[1]FPG!S234-'[1]C.E.'!S234</f>
        <v>0</v>
      </c>
      <c r="W234" s="22"/>
    </row>
    <row r="235" spans="1:23" ht="20.399999999999999" outlineLevel="1" x14ac:dyDescent="0.2">
      <c r="A235" s="9"/>
      <c r="B235" s="48"/>
      <c r="C235" s="31">
        <v>400341</v>
      </c>
      <c r="D235" s="62" t="s">
        <v>207</v>
      </c>
      <c r="E235" s="33"/>
      <c r="F235" s="34">
        <f>[1]FPG!F235+'[1]C.E.'!F235+[1]SAP!F235</f>
        <v>7219.7296251416656</v>
      </c>
      <c r="G235" s="34">
        <f>[1]FPG!G235+'[1]C.E.'!G235+[1]SAP!G235</f>
        <v>7219.7296251416656</v>
      </c>
      <c r="H235" s="34">
        <f>[1]FPG!H235+'[1]C.E.'!H235+[1]SAP!H235</f>
        <v>7219.7296251416656</v>
      </c>
      <c r="I235" s="34">
        <f>[1]FPG!I235+'[1]C.E.'!I235+[1]SAP!I235</f>
        <v>7219.7296251416656</v>
      </c>
      <c r="J235" s="34">
        <f>[1]FPG!J235+'[1]C.E.'!J235+[1]SAP!J235</f>
        <v>7219.7296251416656</v>
      </c>
      <c r="K235" s="34">
        <f>[1]FPG!K235+'[1]C.E.'!K235+[1]SAP!K235</f>
        <v>7219.7296251416656</v>
      </c>
      <c r="L235" s="34">
        <f>[1]FPG!L235+'[1]C.E.'!L235+[1]SAP!L235</f>
        <v>7219.7296251416656</v>
      </c>
      <c r="M235" s="34">
        <f>[1]FPG!M235+'[1]C.E.'!M235+[1]SAP!M235</f>
        <v>7219.7296251416656</v>
      </c>
      <c r="N235" s="34">
        <f>[1]FPG!N235+'[1]C.E.'!N235+[1]SAP!N235</f>
        <v>7219.7296251416656</v>
      </c>
      <c r="O235" s="34">
        <f>[1]FPG!O235+'[1]C.E.'!O235+[1]SAP!O235</f>
        <v>7219.7296251416656</v>
      </c>
      <c r="P235" s="34">
        <f>[1]FPG!P235+'[1]C.E.'!P235+[1]SAP!P235</f>
        <v>7219.7296251416656</v>
      </c>
      <c r="Q235" s="34">
        <f>[1]FPG!Q235+'[1]C.E.'!Q235+[1]SAP!Q235</f>
        <v>7219.7296251416656</v>
      </c>
      <c r="R235" s="27"/>
      <c r="S235" s="35">
        <f t="shared" ref="S235:S298" si="27">SUM(F235:R235)</f>
        <v>86636.755501699983</v>
      </c>
      <c r="T235" s="36">
        <f t="shared" si="25"/>
        <v>7.4022359006886479E-3</v>
      </c>
      <c r="V235" s="21">
        <f>S235-[1]FPG!S235-'[1]C.E.'!S235</f>
        <v>0</v>
      </c>
      <c r="W235" s="22"/>
    </row>
    <row r="236" spans="1:23" hidden="1" outlineLevel="1" x14ac:dyDescent="0.2">
      <c r="A236" s="9"/>
      <c r="B236" s="48"/>
      <c r="C236" s="31">
        <v>400342</v>
      </c>
      <c r="D236" s="32" t="s">
        <v>208</v>
      </c>
      <c r="E236" s="33"/>
      <c r="F236" s="34">
        <f>[1]FPG!F236+'[1]C.E.'!F236+[1]SAP!F236</f>
        <v>0</v>
      </c>
      <c r="G236" s="34">
        <f>[1]FPG!G236+'[1]C.E.'!G236+[1]SAP!G236</f>
        <v>0</v>
      </c>
      <c r="H236" s="34">
        <f>[1]FPG!H236+'[1]C.E.'!H236+[1]SAP!H236</f>
        <v>0</v>
      </c>
      <c r="I236" s="34">
        <f>[1]FPG!I236+'[1]C.E.'!I236+[1]SAP!I236</f>
        <v>0</v>
      </c>
      <c r="J236" s="34">
        <f>[1]FPG!J236+'[1]C.E.'!J236+[1]SAP!J236</f>
        <v>0</v>
      </c>
      <c r="K236" s="34">
        <f>[1]FPG!K236+'[1]C.E.'!K236+[1]SAP!K236</f>
        <v>0</v>
      </c>
      <c r="L236" s="34">
        <f>[1]FPG!L236+'[1]C.E.'!L236+[1]SAP!L236</f>
        <v>0</v>
      </c>
      <c r="M236" s="34">
        <f>[1]FPG!M236+'[1]C.E.'!M236+[1]SAP!M236</f>
        <v>0</v>
      </c>
      <c r="N236" s="34">
        <f>[1]FPG!N236+'[1]C.E.'!N236+[1]SAP!N236</f>
        <v>0</v>
      </c>
      <c r="O236" s="34">
        <f>[1]FPG!O236+'[1]C.E.'!O236+[1]SAP!O236</f>
        <v>0</v>
      </c>
      <c r="P236" s="34">
        <f>[1]FPG!P236+'[1]C.E.'!P236+[1]SAP!P236</f>
        <v>0</v>
      </c>
      <c r="Q236" s="34">
        <f>[1]FPG!Q236+'[1]C.E.'!Q236+[1]SAP!Q236</f>
        <v>0</v>
      </c>
      <c r="R236" s="27"/>
      <c r="S236" s="35">
        <f t="shared" si="27"/>
        <v>0</v>
      </c>
      <c r="T236" s="36">
        <f t="shared" si="25"/>
        <v>0</v>
      </c>
      <c r="V236" s="21">
        <f>S236-[1]FPG!S236-'[1]C.E.'!S236</f>
        <v>0</v>
      </c>
      <c r="W236" s="22"/>
    </row>
    <row r="237" spans="1:23" x14ac:dyDescent="0.2">
      <c r="A237" s="9"/>
      <c r="B237" s="49" t="s">
        <v>209</v>
      </c>
      <c r="C237" s="135" t="s">
        <v>210</v>
      </c>
      <c r="D237" s="135"/>
      <c r="E237" s="51" t="s">
        <v>57</v>
      </c>
      <c r="F237" s="52">
        <f>SUM(F238:F244)</f>
        <v>98084.135000000009</v>
      </c>
      <c r="G237" s="52">
        <f>SUM(G238:G244)</f>
        <v>98084.135000000009</v>
      </c>
      <c r="H237" s="52">
        <f t="shared" ref="H237:Q237" si="28">SUM(H238:H244)</f>
        <v>98084.135000000009</v>
      </c>
      <c r="I237" s="52">
        <f t="shared" si="28"/>
        <v>98084.135000000009</v>
      </c>
      <c r="J237" s="52">
        <f t="shared" si="28"/>
        <v>98084.135000000009</v>
      </c>
      <c r="K237" s="52">
        <f t="shared" si="28"/>
        <v>98084.135000000009</v>
      </c>
      <c r="L237" s="52">
        <f t="shared" si="28"/>
        <v>100325.3855</v>
      </c>
      <c r="M237" s="52">
        <f t="shared" si="28"/>
        <v>100325.3855</v>
      </c>
      <c r="N237" s="52">
        <f t="shared" si="28"/>
        <v>100325.3855</v>
      </c>
      <c r="O237" s="52">
        <f t="shared" si="28"/>
        <v>107733.85949999999</v>
      </c>
      <c r="P237" s="52">
        <f t="shared" si="28"/>
        <v>107733.85949999999</v>
      </c>
      <c r="Q237" s="52">
        <f t="shared" si="28"/>
        <v>107733.85949999999</v>
      </c>
      <c r="R237" s="27"/>
      <c r="S237" s="28">
        <f t="shared" si="27"/>
        <v>1212682.5449999999</v>
      </c>
      <c r="T237" s="29">
        <f>S237/$S$43</f>
        <v>0.10361147781626401</v>
      </c>
      <c r="V237" s="21">
        <f>S237-[1]FPG!S237-'[1]C.E.'!S237</f>
        <v>0</v>
      </c>
      <c r="W237" s="22"/>
    </row>
    <row r="238" spans="1:23" outlineLevel="1" x14ac:dyDescent="0.2">
      <c r="A238" s="9"/>
      <c r="B238" s="48"/>
      <c r="C238" s="31">
        <v>400149</v>
      </c>
      <c r="D238" s="32" t="s">
        <v>211</v>
      </c>
      <c r="E238" s="33"/>
      <c r="F238" s="34">
        <f>[1]FPG!F238+'[1]C.E.'!F238+[1]SAP!F238</f>
        <v>74084.740000000005</v>
      </c>
      <c r="G238" s="34">
        <f>[1]FPG!G238+'[1]C.E.'!G238+[1]SAP!G238</f>
        <v>74084.740000000005</v>
      </c>
      <c r="H238" s="34">
        <f>[1]FPG!H238+'[1]C.E.'!H238+[1]SAP!H238</f>
        <v>74084.740000000005</v>
      </c>
      <c r="I238" s="34">
        <f>[1]FPG!I238+'[1]C.E.'!I238+[1]SAP!I238</f>
        <v>74084.740000000005</v>
      </c>
      <c r="J238" s="34">
        <f>[1]FPG!J238+'[1]C.E.'!J238+[1]SAP!J238</f>
        <v>74084.740000000005</v>
      </c>
      <c r="K238" s="34">
        <f>[1]FPG!K238+'[1]C.E.'!K238+[1]SAP!K238</f>
        <v>74084.740000000005</v>
      </c>
      <c r="L238" s="34">
        <f>[1]FPG!L238+'[1]C.E.'!L238+[1]SAP!L238</f>
        <v>74084.740000000005</v>
      </c>
      <c r="M238" s="34">
        <f>[1]FPG!M238+'[1]C.E.'!M238+[1]SAP!M238</f>
        <v>74084.740000000005</v>
      </c>
      <c r="N238" s="34">
        <f>[1]FPG!N238+'[1]C.E.'!N238+[1]SAP!N238</f>
        <v>74084.740000000005</v>
      </c>
      <c r="O238" s="34">
        <f>[1]FPG!O238+'[1]C.E.'!O238+[1]SAP!O238</f>
        <v>81493.214000000007</v>
      </c>
      <c r="P238" s="34">
        <f>[1]FPG!P238+'[1]C.E.'!P238+[1]SAP!P238</f>
        <v>81493.214000000007</v>
      </c>
      <c r="Q238" s="34">
        <f>[1]FPG!Q238+'[1]C.E.'!Q238+[1]SAP!Q238</f>
        <v>81493.214000000007</v>
      </c>
      <c r="R238" s="27"/>
      <c r="S238" s="35">
        <f t="shared" si="27"/>
        <v>911242.30200000014</v>
      </c>
      <c r="T238" s="36">
        <f t="shared" ref="T238:T244" si="29">S238/$S$43</f>
        <v>7.7856452991919969E-2</v>
      </c>
      <c r="V238" s="21">
        <f>S238-[1]FPG!S238-'[1]C.E.'!S238</f>
        <v>0</v>
      </c>
      <c r="W238" s="22"/>
    </row>
    <row r="239" spans="1:23" hidden="1" outlineLevel="1" x14ac:dyDescent="0.2">
      <c r="A239" s="9"/>
      <c r="B239" s="48"/>
      <c r="C239" s="31">
        <v>400150</v>
      </c>
      <c r="D239" s="32" t="s">
        <v>212</v>
      </c>
      <c r="E239" s="33"/>
      <c r="F239" s="34">
        <f>[1]FPG!F239+'[1]C.E.'!F239+[1]SAP!F239</f>
        <v>0</v>
      </c>
      <c r="G239" s="34">
        <f>[1]FPG!G239+'[1]C.E.'!G239+[1]SAP!G239</f>
        <v>0</v>
      </c>
      <c r="H239" s="34">
        <f>[1]FPG!H239+'[1]C.E.'!H239+[1]SAP!H239</f>
        <v>0</v>
      </c>
      <c r="I239" s="34">
        <f>[1]FPG!I239+'[1]C.E.'!I239+[1]SAP!I239</f>
        <v>0</v>
      </c>
      <c r="J239" s="34">
        <f>[1]FPG!J239+'[1]C.E.'!J239+[1]SAP!J239</f>
        <v>0</v>
      </c>
      <c r="K239" s="34">
        <f>[1]FPG!K239+'[1]C.E.'!K239+[1]SAP!K239</f>
        <v>0</v>
      </c>
      <c r="L239" s="34">
        <f>[1]FPG!L239+'[1]C.E.'!L239+[1]SAP!L239</f>
        <v>0</v>
      </c>
      <c r="M239" s="34">
        <f>[1]FPG!M239+'[1]C.E.'!M239+[1]SAP!M239</f>
        <v>0</v>
      </c>
      <c r="N239" s="34">
        <f>[1]FPG!N239+'[1]C.E.'!N239+[1]SAP!N239</f>
        <v>0</v>
      </c>
      <c r="O239" s="34">
        <f>[1]FPG!O239+'[1]C.E.'!O239+[1]SAP!O239</f>
        <v>0</v>
      </c>
      <c r="P239" s="34">
        <f>[1]FPG!P239+'[1]C.E.'!P239+[1]SAP!P239</f>
        <v>0</v>
      </c>
      <c r="Q239" s="34">
        <f>[1]FPG!Q239+'[1]C.E.'!Q239+[1]SAP!Q239</f>
        <v>0</v>
      </c>
      <c r="R239" s="27"/>
      <c r="S239" s="35">
        <f t="shared" si="27"/>
        <v>0</v>
      </c>
      <c r="T239" s="36">
        <f t="shared" si="29"/>
        <v>0</v>
      </c>
      <c r="V239" s="21">
        <f>S239-[1]FPG!S239-'[1]C.E.'!S239</f>
        <v>0</v>
      </c>
      <c r="W239" s="22"/>
    </row>
    <row r="240" spans="1:23" outlineLevel="1" x14ac:dyDescent="0.2">
      <c r="A240" s="9"/>
      <c r="B240" s="48"/>
      <c r="C240" s="31">
        <v>400151</v>
      </c>
      <c r="D240" s="32" t="s">
        <v>213</v>
      </c>
      <c r="E240" s="33"/>
      <c r="F240" s="34">
        <f>[1]FPG!F240+'[1]C.E.'!F240+[1]SAP!F240</f>
        <v>1960.5630000000001</v>
      </c>
      <c r="G240" s="34">
        <f>[1]FPG!G240+'[1]C.E.'!G240+[1]SAP!G240</f>
        <v>1960.5630000000001</v>
      </c>
      <c r="H240" s="34">
        <f>[1]FPG!H240+'[1]C.E.'!H240+[1]SAP!H240</f>
        <v>1960.5630000000001</v>
      </c>
      <c r="I240" s="34">
        <f>[1]FPG!I240+'[1]C.E.'!I240+[1]SAP!I240</f>
        <v>1960.5630000000001</v>
      </c>
      <c r="J240" s="34">
        <f>[1]FPG!J240+'[1]C.E.'!J240+[1]SAP!J240</f>
        <v>1960.5630000000001</v>
      </c>
      <c r="K240" s="34">
        <f>[1]FPG!K240+'[1]C.E.'!K240+[1]SAP!K240</f>
        <v>1960.5630000000001</v>
      </c>
      <c r="L240" s="34">
        <f>[1]FPG!L240+'[1]C.E.'!L240+[1]SAP!L240</f>
        <v>1960.5630000000001</v>
      </c>
      <c r="M240" s="34">
        <f>[1]FPG!M240+'[1]C.E.'!M240+[1]SAP!M240</f>
        <v>1960.5630000000001</v>
      </c>
      <c r="N240" s="34">
        <f>[1]FPG!N240+'[1]C.E.'!N240+[1]SAP!N240</f>
        <v>1960.5630000000001</v>
      </c>
      <c r="O240" s="34">
        <f>[1]FPG!O240+'[1]C.E.'!O240+[1]SAP!O240</f>
        <v>1960.5630000000001</v>
      </c>
      <c r="P240" s="34">
        <f>[1]FPG!P240+'[1]C.E.'!P240+[1]SAP!P240</f>
        <v>1960.5630000000001</v>
      </c>
      <c r="Q240" s="34">
        <f>[1]FPG!Q240+'[1]C.E.'!Q240+[1]SAP!Q240</f>
        <v>1960.5630000000001</v>
      </c>
      <c r="R240" s="27"/>
      <c r="S240" s="35">
        <f t="shared" si="27"/>
        <v>23526.756000000008</v>
      </c>
      <c r="T240" s="36">
        <f t="shared" si="29"/>
        <v>2.0101237272963776E-3</v>
      </c>
      <c r="V240" s="21">
        <f>S240-[1]FPG!S240-'[1]C.E.'!S240</f>
        <v>0</v>
      </c>
      <c r="W240" s="22"/>
    </row>
    <row r="241" spans="1:23" outlineLevel="1" x14ac:dyDescent="0.2">
      <c r="A241" s="9"/>
      <c r="B241" s="48"/>
      <c r="C241" s="31">
        <v>400152</v>
      </c>
      <c r="D241" s="32" t="s">
        <v>214</v>
      </c>
      <c r="E241" s="33"/>
      <c r="F241" s="34">
        <f>[1]FPG!F241+'[1]C.E.'!F241+[1]SAP!F241</f>
        <v>14538.832000000002</v>
      </c>
      <c r="G241" s="34">
        <f>[1]FPG!G241+'[1]C.E.'!G241+[1]SAP!G241</f>
        <v>14538.832000000002</v>
      </c>
      <c r="H241" s="34">
        <f>[1]FPG!H241+'[1]C.E.'!H241+[1]SAP!H241</f>
        <v>14538.832000000002</v>
      </c>
      <c r="I241" s="34">
        <f>[1]FPG!I241+'[1]C.E.'!I241+[1]SAP!I241</f>
        <v>14538.832000000002</v>
      </c>
      <c r="J241" s="34">
        <f>[1]FPG!J241+'[1]C.E.'!J241+[1]SAP!J241</f>
        <v>14538.832000000002</v>
      </c>
      <c r="K241" s="34">
        <f>[1]FPG!K241+'[1]C.E.'!K241+[1]SAP!K241</f>
        <v>14538.832000000002</v>
      </c>
      <c r="L241" s="34">
        <f>[1]FPG!L241+'[1]C.E.'!L241+[1]SAP!L241</f>
        <v>14538.832000000002</v>
      </c>
      <c r="M241" s="34">
        <f>[1]FPG!M241+'[1]C.E.'!M241+[1]SAP!M241</f>
        <v>14538.832000000002</v>
      </c>
      <c r="N241" s="34">
        <f>[1]FPG!N241+'[1]C.E.'!N241+[1]SAP!N241</f>
        <v>14538.832000000002</v>
      </c>
      <c r="O241" s="34">
        <f>[1]FPG!O241+'[1]C.E.'!O241+[1]SAP!O241</f>
        <v>14538.832000000002</v>
      </c>
      <c r="P241" s="34">
        <f>[1]FPG!P241+'[1]C.E.'!P241+[1]SAP!P241</f>
        <v>14538.832000000002</v>
      </c>
      <c r="Q241" s="34">
        <f>[1]FPG!Q241+'[1]C.E.'!Q241+[1]SAP!Q241</f>
        <v>14538.832000000002</v>
      </c>
      <c r="R241" s="27"/>
      <c r="S241" s="35">
        <f t="shared" si="27"/>
        <v>174465.98399999997</v>
      </c>
      <c r="T241" s="36">
        <f t="shared" si="29"/>
        <v>1.4906356577358561E-2</v>
      </c>
      <c r="V241" s="21">
        <f>S241-[1]FPG!S241-'[1]C.E.'!S241</f>
        <v>0</v>
      </c>
      <c r="W241" s="22"/>
    </row>
    <row r="242" spans="1:23" hidden="1" outlineLevel="1" x14ac:dyDescent="0.2">
      <c r="A242" s="9"/>
      <c r="B242" s="48"/>
      <c r="C242" s="31">
        <v>400153</v>
      </c>
      <c r="D242" s="32" t="s">
        <v>215</v>
      </c>
      <c r="E242" s="33"/>
      <c r="F242" s="34">
        <f>[1]FPG!F242+'[1]C.E.'!F242+[1]SAP!F242</f>
        <v>0</v>
      </c>
      <c r="G242" s="34">
        <f>[1]FPG!G242+'[1]C.E.'!G242+[1]SAP!G242</f>
        <v>0</v>
      </c>
      <c r="H242" s="34">
        <f>[1]FPG!H242+'[1]C.E.'!H242+[1]SAP!H242</f>
        <v>0</v>
      </c>
      <c r="I242" s="34">
        <f>[1]FPG!I242+'[1]C.E.'!I242+[1]SAP!I242</f>
        <v>0</v>
      </c>
      <c r="J242" s="34">
        <f>[1]FPG!J242+'[1]C.E.'!J242+[1]SAP!J242</f>
        <v>0</v>
      </c>
      <c r="K242" s="34">
        <f>[1]FPG!K242+'[1]C.E.'!K242+[1]SAP!K242</f>
        <v>0</v>
      </c>
      <c r="L242" s="34">
        <f>[1]FPG!L242+'[1]C.E.'!L242+[1]SAP!L242</f>
        <v>0</v>
      </c>
      <c r="M242" s="34">
        <f>[1]FPG!M242+'[1]C.E.'!M242+[1]SAP!M242</f>
        <v>0</v>
      </c>
      <c r="N242" s="34">
        <f>[1]FPG!N242+'[1]C.E.'!N242+[1]SAP!N242</f>
        <v>0</v>
      </c>
      <c r="O242" s="34">
        <f>[1]FPG!O242+'[1]C.E.'!O242+[1]SAP!O242</f>
        <v>0</v>
      </c>
      <c r="P242" s="34">
        <f>[1]FPG!P242+'[1]C.E.'!P242+[1]SAP!P242</f>
        <v>0</v>
      </c>
      <c r="Q242" s="34">
        <f>[1]FPG!Q242+'[1]C.E.'!Q242+[1]SAP!Q242</f>
        <v>0</v>
      </c>
      <c r="R242" s="27"/>
      <c r="S242" s="35">
        <f t="shared" si="27"/>
        <v>0</v>
      </c>
      <c r="T242" s="36">
        <f t="shared" si="29"/>
        <v>0</v>
      </c>
      <c r="V242" s="21">
        <f>S242-[1]FPG!S242-'[1]C.E.'!S242</f>
        <v>0</v>
      </c>
      <c r="W242" s="22"/>
    </row>
    <row r="243" spans="1:23" outlineLevel="1" x14ac:dyDescent="0.2">
      <c r="A243" s="9"/>
      <c r="B243" s="48"/>
      <c r="C243" s="31">
        <v>400154</v>
      </c>
      <c r="D243" s="32" t="s">
        <v>216</v>
      </c>
      <c r="E243" s="33"/>
      <c r="F243" s="34">
        <f>[1]FPG!F243+'[1]C.E.'!F243+[1]SAP!F243</f>
        <v>0</v>
      </c>
      <c r="G243" s="34">
        <f>[1]FPG!G243+'[1]C.E.'!G243+[1]SAP!G243</f>
        <v>0</v>
      </c>
      <c r="H243" s="34">
        <f>[1]FPG!H243+'[1]C.E.'!H243+[1]SAP!H243</f>
        <v>0</v>
      </c>
      <c r="I243" s="34">
        <f>[1]FPG!I243+'[1]C.E.'!I243+[1]SAP!I243</f>
        <v>0</v>
      </c>
      <c r="J243" s="34">
        <f>[1]FPG!J243+'[1]C.E.'!J243+[1]SAP!J243</f>
        <v>0</v>
      </c>
      <c r="K243" s="34">
        <f>[1]FPG!K243+'[1]C.E.'!K243+[1]SAP!K243</f>
        <v>0</v>
      </c>
      <c r="L243" s="34">
        <f>[1]FPG!L243+'[1]C.E.'!L243+[1]SAP!L243</f>
        <v>2241.2505000000001</v>
      </c>
      <c r="M243" s="34">
        <f>[1]FPG!M243+'[1]C.E.'!M243+[1]SAP!M243</f>
        <v>2241.2505000000001</v>
      </c>
      <c r="N243" s="34">
        <f>[1]FPG!N243+'[1]C.E.'!N243+[1]SAP!N243</f>
        <v>2241.2505000000001</v>
      </c>
      <c r="O243" s="34">
        <f>[1]FPG!O243+'[1]C.E.'!O243+[1]SAP!O243</f>
        <v>2241.2505000000001</v>
      </c>
      <c r="P243" s="34">
        <f>[1]FPG!P243+'[1]C.E.'!P243+[1]SAP!P243</f>
        <v>2241.2505000000001</v>
      </c>
      <c r="Q243" s="34">
        <f>[1]FPG!Q243+'[1]C.E.'!Q243+[1]SAP!Q243</f>
        <v>2241.2505000000001</v>
      </c>
      <c r="R243" s="27"/>
      <c r="S243" s="35">
        <f t="shared" si="27"/>
        <v>13447.503000000001</v>
      </c>
      <c r="T243" s="36">
        <f t="shared" si="29"/>
        <v>1.1489533386238721E-3</v>
      </c>
      <c r="V243" s="21">
        <f>S243-[1]FPG!S243-'[1]C.E.'!S243</f>
        <v>0</v>
      </c>
      <c r="W243" s="22"/>
    </row>
    <row r="244" spans="1:23" outlineLevel="1" x14ac:dyDescent="0.2">
      <c r="A244" s="9"/>
      <c r="B244" s="48"/>
      <c r="C244" s="31">
        <v>400237</v>
      </c>
      <c r="D244" s="32" t="s">
        <v>217</v>
      </c>
      <c r="E244" s="33"/>
      <c r="F244" s="34">
        <f>[1]FPG!F244+'[1]C.E.'!F244+[1]SAP!F244</f>
        <v>7500</v>
      </c>
      <c r="G244" s="34">
        <f>[1]FPG!G244+'[1]C.E.'!G244+[1]SAP!G244</f>
        <v>7500</v>
      </c>
      <c r="H244" s="34">
        <f>[1]FPG!H244+'[1]C.E.'!H244+[1]SAP!H244</f>
        <v>7500</v>
      </c>
      <c r="I244" s="34">
        <f>[1]FPG!I244+'[1]C.E.'!I244+[1]SAP!I244</f>
        <v>7500</v>
      </c>
      <c r="J244" s="34">
        <f>[1]FPG!J244+'[1]C.E.'!J244+[1]SAP!J244</f>
        <v>7500</v>
      </c>
      <c r="K244" s="34">
        <f>[1]FPG!K244+'[1]C.E.'!K244+[1]SAP!K244</f>
        <v>7500</v>
      </c>
      <c r="L244" s="34">
        <f>[1]FPG!L244+'[1]C.E.'!L244+[1]SAP!L244</f>
        <v>7500</v>
      </c>
      <c r="M244" s="34">
        <f>[1]FPG!M244+'[1]C.E.'!M244+[1]SAP!M244</f>
        <v>7500</v>
      </c>
      <c r="N244" s="34">
        <f>[1]FPG!N244+'[1]C.E.'!N244+[1]SAP!N244</f>
        <v>7500</v>
      </c>
      <c r="O244" s="34">
        <f>[1]FPG!O244+'[1]C.E.'!O244+[1]SAP!O244</f>
        <v>7500</v>
      </c>
      <c r="P244" s="34">
        <f>[1]FPG!P244+'[1]C.E.'!P244+[1]SAP!P244</f>
        <v>7500</v>
      </c>
      <c r="Q244" s="34">
        <f>[1]FPG!Q244+'[1]C.E.'!Q244+[1]SAP!Q244</f>
        <v>7500</v>
      </c>
      <c r="R244" s="27"/>
      <c r="S244" s="35">
        <f t="shared" si="27"/>
        <v>90000</v>
      </c>
      <c r="T244" s="36">
        <f t="shared" si="29"/>
        <v>7.6895911810652487E-3</v>
      </c>
      <c r="V244" s="21">
        <f>S244-[1]FPG!S244-'[1]C.E.'!S244</f>
        <v>0</v>
      </c>
      <c r="W244" s="22"/>
    </row>
    <row r="245" spans="1:23" x14ac:dyDescent="0.2">
      <c r="A245" s="9"/>
      <c r="B245" s="49" t="s">
        <v>218</v>
      </c>
      <c r="C245" s="49" t="s">
        <v>219</v>
      </c>
      <c r="D245" s="50"/>
      <c r="E245" s="51" t="s">
        <v>57</v>
      </c>
      <c r="F245" s="52">
        <f>SUM(F246:F248)</f>
        <v>1413.80177</v>
      </c>
      <c r="G245" s="52">
        <f>SUM(G246:G248)</f>
        <v>1413.80177</v>
      </c>
      <c r="H245" s="52">
        <f t="shared" ref="H245:Q245" si="30">SUM(H246:H248)</f>
        <v>1413.80177</v>
      </c>
      <c r="I245" s="52">
        <f t="shared" si="30"/>
        <v>1413.80177</v>
      </c>
      <c r="J245" s="52">
        <f t="shared" si="30"/>
        <v>1413.80177</v>
      </c>
      <c r="K245" s="52">
        <f t="shared" si="30"/>
        <v>1413.80177</v>
      </c>
      <c r="L245" s="52">
        <f t="shared" si="30"/>
        <v>1413.80177</v>
      </c>
      <c r="M245" s="52">
        <f t="shared" si="30"/>
        <v>1413.80177</v>
      </c>
      <c r="N245" s="52">
        <f t="shared" si="30"/>
        <v>1413.80177</v>
      </c>
      <c r="O245" s="52">
        <f t="shared" si="30"/>
        <v>1413.80177</v>
      </c>
      <c r="P245" s="52">
        <f t="shared" si="30"/>
        <v>1413.80177</v>
      </c>
      <c r="Q245" s="52">
        <f t="shared" si="30"/>
        <v>1413.80177</v>
      </c>
      <c r="R245" s="27"/>
      <c r="S245" s="28">
        <f t="shared" si="27"/>
        <v>16965.62124</v>
      </c>
      <c r="T245" s="29">
        <f>S245/$S$43</f>
        <v>1.4495410163155253E-3</v>
      </c>
      <c r="V245" s="21">
        <f>S245-[1]FPG!S245-'[1]C.E.'!S245</f>
        <v>0</v>
      </c>
      <c r="W245" s="22"/>
    </row>
    <row r="246" spans="1:23" hidden="1" outlineLevel="1" x14ac:dyDescent="0.2">
      <c r="A246" s="9"/>
      <c r="B246" s="48"/>
      <c r="C246" s="31">
        <v>400155</v>
      </c>
      <c r="D246" s="32" t="s">
        <v>220</v>
      </c>
      <c r="E246" s="33"/>
      <c r="F246" s="34">
        <f>[1]FPG!F246+'[1]C.E.'!F246+[1]SAP!F246</f>
        <v>0</v>
      </c>
      <c r="G246" s="34">
        <f>[1]FPG!G246+'[1]C.E.'!G246+[1]SAP!G246</f>
        <v>0</v>
      </c>
      <c r="H246" s="34">
        <f>[1]FPG!H246+'[1]C.E.'!H246+[1]SAP!H246</f>
        <v>0</v>
      </c>
      <c r="I246" s="34">
        <f>[1]FPG!I246+'[1]C.E.'!I246+[1]SAP!I246</f>
        <v>0</v>
      </c>
      <c r="J246" s="34">
        <f>[1]FPG!J246+'[1]C.E.'!J246+[1]SAP!J246</f>
        <v>0</v>
      </c>
      <c r="K246" s="34">
        <f>[1]FPG!K246+'[1]C.E.'!K246+[1]SAP!K246</f>
        <v>0</v>
      </c>
      <c r="L246" s="34">
        <f>[1]FPG!L246+'[1]C.E.'!L246+[1]SAP!L246</f>
        <v>0</v>
      </c>
      <c r="M246" s="34">
        <f>[1]FPG!M246+'[1]C.E.'!M246+[1]SAP!M246</f>
        <v>0</v>
      </c>
      <c r="N246" s="34">
        <f>[1]FPG!N246+'[1]C.E.'!N246+[1]SAP!N246</f>
        <v>0</v>
      </c>
      <c r="O246" s="34">
        <f>[1]FPG!O246+'[1]C.E.'!O246+[1]SAP!O246</f>
        <v>0</v>
      </c>
      <c r="P246" s="34">
        <f>[1]FPG!P246+'[1]C.E.'!P246+[1]SAP!P246</f>
        <v>0</v>
      </c>
      <c r="Q246" s="34">
        <f>[1]FPG!Q246+'[1]C.E.'!Q246+[1]SAP!Q246</f>
        <v>0</v>
      </c>
      <c r="R246" s="27"/>
      <c r="S246" s="35">
        <f t="shared" si="27"/>
        <v>0</v>
      </c>
      <c r="T246" s="36">
        <f t="shared" ref="T246:T248" si="31">S246/$S$43</f>
        <v>0</v>
      </c>
      <c r="V246" s="21">
        <f>S246-[1]FPG!S246-'[1]C.E.'!S246</f>
        <v>0</v>
      </c>
      <c r="W246" s="22"/>
    </row>
    <row r="247" spans="1:23" outlineLevel="1" x14ac:dyDescent="0.2">
      <c r="A247" s="9"/>
      <c r="B247" s="48"/>
      <c r="C247" s="31">
        <v>400156</v>
      </c>
      <c r="D247" s="32" t="s">
        <v>221</v>
      </c>
      <c r="E247" s="33"/>
      <c r="F247" s="34">
        <f>[1]FPG!F247+'[1]C.E.'!F247+[1]SAP!F247</f>
        <v>580.37175000000002</v>
      </c>
      <c r="G247" s="34">
        <f>[1]FPG!G247+'[1]C.E.'!G247+[1]SAP!G247</f>
        <v>580.37175000000002</v>
      </c>
      <c r="H247" s="34">
        <f>[1]FPG!H247+'[1]C.E.'!H247+[1]SAP!H247</f>
        <v>580.37175000000002</v>
      </c>
      <c r="I247" s="34">
        <f>[1]FPG!I247+'[1]C.E.'!I247+[1]SAP!I247</f>
        <v>580.37175000000002</v>
      </c>
      <c r="J247" s="34">
        <f>[1]FPG!J247+'[1]C.E.'!J247+[1]SAP!J247</f>
        <v>580.37175000000002</v>
      </c>
      <c r="K247" s="34">
        <f>[1]FPG!K247+'[1]C.E.'!K247+[1]SAP!K247</f>
        <v>580.37175000000002</v>
      </c>
      <c r="L247" s="34">
        <f>[1]FPG!L247+'[1]C.E.'!L247+[1]SAP!L247</f>
        <v>580.37175000000002</v>
      </c>
      <c r="M247" s="34">
        <f>[1]FPG!M247+'[1]C.E.'!M247+[1]SAP!M247</f>
        <v>580.37175000000002</v>
      </c>
      <c r="N247" s="34">
        <f>[1]FPG!N247+'[1]C.E.'!N247+[1]SAP!N247</f>
        <v>580.37175000000002</v>
      </c>
      <c r="O247" s="34">
        <f>[1]FPG!O247+'[1]C.E.'!O247+[1]SAP!O247</f>
        <v>580.37175000000002</v>
      </c>
      <c r="P247" s="34">
        <f>[1]FPG!P247+'[1]C.E.'!P247+[1]SAP!P247</f>
        <v>580.37175000000002</v>
      </c>
      <c r="Q247" s="34">
        <f>[1]FPG!Q247+'[1]C.E.'!Q247+[1]SAP!Q247</f>
        <v>580.37175000000002</v>
      </c>
      <c r="R247" s="27"/>
      <c r="S247" s="35">
        <f t="shared" si="27"/>
        <v>6964.4610000000021</v>
      </c>
      <c r="T247" s="36">
        <f t="shared" si="31"/>
        <v>5.9504286540525424E-4</v>
      </c>
      <c r="V247" s="21">
        <f>S247-[1]FPG!S247-'[1]C.E.'!S247</f>
        <v>0</v>
      </c>
      <c r="W247" s="22"/>
    </row>
    <row r="248" spans="1:23" outlineLevel="1" x14ac:dyDescent="0.2">
      <c r="A248" s="9"/>
      <c r="B248" s="48"/>
      <c r="C248" s="31">
        <v>400157</v>
      </c>
      <c r="D248" s="32" t="s">
        <v>222</v>
      </c>
      <c r="E248" s="33"/>
      <c r="F248" s="34">
        <f>[1]FPG!F248+'[1]C.E.'!F248+[1]SAP!F248</f>
        <v>833.43002000000001</v>
      </c>
      <c r="G248" s="34">
        <f>[1]FPG!G248+'[1]C.E.'!G248+[1]SAP!G248</f>
        <v>833.43002000000001</v>
      </c>
      <c r="H248" s="34">
        <f>[1]FPG!H248+'[1]C.E.'!H248+[1]SAP!H248</f>
        <v>833.43002000000001</v>
      </c>
      <c r="I248" s="34">
        <f>[1]FPG!I248+'[1]C.E.'!I248+[1]SAP!I248</f>
        <v>833.43002000000001</v>
      </c>
      <c r="J248" s="34">
        <f>[1]FPG!J248+'[1]C.E.'!J248+[1]SAP!J248</f>
        <v>833.43002000000001</v>
      </c>
      <c r="K248" s="34">
        <f>[1]FPG!K248+'[1]C.E.'!K248+[1]SAP!K248</f>
        <v>833.43002000000001</v>
      </c>
      <c r="L248" s="34">
        <f>[1]FPG!L248+'[1]C.E.'!L248+[1]SAP!L248</f>
        <v>833.43002000000001</v>
      </c>
      <c r="M248" s="34">
        <f>[1]FPG!M248+'[1]C.E.'!M248+[1]SAP!M248</f>
        <v>833.43002000000001</v>
      </c>
      <c r="N248" s="34">
        <f>[1]FPG!N248+'[1]C.E.'!N248+[1]SAP!N248</f>
        <v>833.43002000000001</v>
      </c>
      <c r="O248" s="34">
        <f>[1]FPG!O248+'[1]C.E.'!O248+[1]SAP!O248</f>
        <v>833.43002000000001</v>
      </c>
      <c r="P248" s="34">
        <f>[1]FPG!P248+'[1]C.E.'!P248+[1]SAP!P248</f>
        <v>833.43002000000001</v>
      </c>
      <c r="Q248" s="34">
        <f>[1]FPG!Q248+'[1]C.E.'!Q248+[1]SAP!Q248</f>
        <v>833.43002000000001</v>
      </c>
      <c r="R248" s="27"/>
      <c r="S248" s="35">
        <f t="shared" si="27"/>
        <v>10001.160239999999</v>
      </c>
      <c r="T248" s="36">
        <f t="shared" si="31"/>
        <v>8.5449815091027113E-4</v>
      </c>
      <c r="V248" s="21">
        <f>S248-[1]FPG!S248-'[1]C.E.'!S248</f>
        <v>0</v>
      </c>
      <c r="W248" s="22"/>
    </row>
    <row r="249" spans="1:23" x14ac:dyDescent="0.2">
      <c r="A249" s="9"/>
      <c r="B249" s="49" t="s">
        <v>223</v>
      </c>
      <c r="C249" s="49" t="s">
        <v>224</v>
      </c>
      <c r="D249" s="50"/>
      <c r="E249" s="51" t="s">
        <v>57</v>
      </c>
      <c r="F249" s="52">
        <f>SUM(F250:F267)</f>
        <v>200731.69770600271</v>
      </c>
      <c r="G249" s="52">
        <f>SUM(G250:G267)</f>
        <v>219636.22810532089</v>
      </c>
      <c r="H249" s="52">
        <f t="shared" ref="H249:Q249" si="32">SUM(H250:H267)</f>
        <v>219636.22810532089</v>
      </c>
      <c r="I249" s="52">
        <f t="shared" si="32"/>
        <v>219636.22810532089</v>
      </c>
      <c r="J249" s="52">
        <f t="shared" si="32"/>
        <v>219636.22810532089</v>
      </c>
      <c r="K249" s="52">
        <f t="shared" si="32"/>
        <v>231659.02910532089</v>
      </c>
      <c r="L249" s="52">
        <f t="shared" si="32"/>
        <v>220659.02910532089</v>
      </c>
      <c r="M249" s="52">
        <f t="shared" si="32"/>
        <v>252231.52910532092</v>
      </c>
      <c r="N249" s="52">
        <f t="shared" si="32"/>
        <v>234659.02910532089</v>
      </c>
      <c r="O249" s="52">
        <f t="shared" si="32"/>
        <v>234676.13580532087</v>
      </c>
      <c r="P249" s="52">
        <f t="shared" si="32"/>
        <v>239215.59180532087</v>
      </c>
      <c r="Q249" s="52">
        <f t="shared" si="32"/>
        <v>270215.59180532093</v>
      </c>
      <c r="R249" s="27"/>
      <c r="S249" s="28">
        <f t="shared" si="27"/>
        <v>2762592.5459645316</v>
      </c>
      <c r="T249" s="29">
        <f>S249/$S$43</f>
        <v>0.23603563642583839</v>
      </c>
      <c r="V249" s="21">
        <f>S249-[1]FPG!S249-'[1]C.E.'!S249</f>
        <v>0</v>
      </c>
      <c r="W249" s="22"/>
    </row>
    <row r="250" spans="1:23" outlineLevel="1" x14ac:dyDescent="0.2">
      <c r="A250" s="9"/>
      <c r="B250" s="48"/>
      <c r="C250" s="31">
        <v>400158</v>
      </c>
      <c r="D250" s="32" t="s">
        <v>225</v>
      </c>
      <c r="E250" s="33"/>
      <c r="F250" s="34">
        <f>[1]FPG!F250+'[1]C.E.'!F250+[1]SAP!F250</f>
        <v>1597.5</v>
      </c>
      <c r="G250" s="34">
        <f>[1]FPG!G250+'[1]C.E.'!G250+[1]SAP!G250</f>
        <v>19779.31818181818</v>
      </c>
      <c r="H250" s="34">
        <f>[1]FPG!H250+'[1]C.E.'!H250+[1]SAP!H250</f>
        <v>19779.31818181818</v>
      </c>
      <c r="I250" s="34">
        <f>[1]FPG!I250+'[1]C.E.'!I250+[1]SAP!I250</f>
        <v>19779.31818181818</v>
      </c>
      <c r="J250" s="34">
        <f>[1]FPG!J250+'[1]C.E.'!J250+[1]SAP!J250</f>
        <v>19779.31818181818</v>
      </c>
      <c r="K250" s="34">
        <f>[1]FPG!K250+'[1]C.E.'!K250+[1]SAP!K250</f>
        <v>19779.31818181818</v>
      </c>
      <c r="L250" s="34">
        <f>[1]FPG!L250+'[1]C.E.'!L250+[1]SAP!L250</f>
        <v>19779.31818181818</v>
      </c>
      <c r="M250" s="34">
        <f>[1]FPG!M250+'[1]C.E.'!M250+[1]SAP!M250</f>
        <v>21376.81818181818</v>
      </c>
      <c r="N250" s="34">
        <f>[1]FPG!N250+'[1]C.E.'!N250+[1]SAP!N250</f>
        <v>19779.31818181818</v>
      </c>
      <c r="O250" s="34">
        <f>[1]FPG!O250+'[1]C.E.'!O250+[1]SAP!O250</f>
        <v>19779.31818181818</v>
      </c>
      <c r="P250" s="34">
        <f>[1]FPG!P250+'[1]C.E.'!P250+[1]SAP!P250</f>
        <v>19779.31818181818</v>
      </c>
      <c r="Q250" s="34">
        <f>[1]FPG!Q250+'[1]C.E.'!Q250+[1]SAP!Q250</f>
        <v>19779.31818181818</v>
      </c>
      <c r="R250" s="27"/>
      <c r="S250" s="35">
        <f t="shared" si="27"/>
        <v>220767.49999999997</v>
      </c>
      <c r="T250" s="36">
        <f t="shared" ref="T250:T267" si="33">S250/$S$43</f>
        <v>1.8862353567398023E-2</v>
      </c>
      <c r="V250" s="21">
        <f>S250-[1]FPG!S250-'[1]C.E.'!S250</f>
        <v>0</v>
      </c>
      <c r="W250" s="22"/>
    </row>
    <row r="251" spans="1:23" outlineLevel="1" x14ac:dyDescent="0.2">
      <c r="A251" s="9"/>
      <c r="B251" s="48"/>
      <c r="C251" s="31">
        <v>400159</v>
      </c>
      <c r="D251" s="32" t="s">
        <v>226</v>
      </c>
      <c r="E251" s="33"/>
      <c r="F251" s="34">
        <f>[1]FPG!F251+'[1]C.E.'!F251+[1]SAP!F251</f>
        <v>0</v>
      </c>
      <c r="G251" s="34">
        <f>[1]FPG!G251+'[1]C.E.'!G251+[1]SAP!G251</f>
        <v>0</v>
      </c>
      <c r="H251" s="34">
        <f>[1]FPG!H251+'[1]C.E.'!H251+[1]SAP!H251</f>
        <v>0</v>
      </c>
      <c r="I251" s="34">
        <f>[1]FPG!I251+'[1]C.E.'!I251+[1]SAP!I251</f>
        <v>0</v>
      </c>
      <c r="J251" s="34">
        <f>[1]FPG!J251+'[1]C.E.'!J251+[1]SAP!J251</f>
        <v>0</v>
      </c>
      <c r="K251" s="34">
        <f>[1]FPG!K251+'[1]C.E.'!K251+[1]SAP!K251</f>
        <v>0</v>
      </c>
      <c r="L251" s="34">
        <f>[1]FPG!L251+'[1]C.E.'!L251+[1]SAP!L251</f>
        <v>0</v>
      </c>
      <c r="M251" s="34">
        <f>[1]FPG!M251+'[1]C.E.'!M251+[1]SAP!M251</f>
        <v>14000</v>
      </c>
      <c r="N251" s="34">
        <f>[1]FPG!N251+'[1]C.E.'!N251+[1]SAP!N251</f>
        <v>14000</v>
      </c>
      <c r="O251" s="34">
        <f>[1]FPG!O251+'[1]C.E.'!O251+[1]SAP!O251</f>
        <v>14000</v>
      </c>
      <c r="P251" s="34">
        <f>[1]FPG!P251+'[1]C.E.'!P251+[1]SAP!P251</f>
        <v>14000</v>
      </c>
      <c r="Q251" s="34">
        <f>[1]FPG!Q251+'[1]C.E.'!Q251+[1]SAP!Q251</f>
        <v>14000</v>
      </c>
      <c r="R251" s="27"/>
      <c r="S251" s="35">
        <f t="shared" si="27"/>
        <v>70000</v>
      </c>
      <c r="T251" s="36">
        <f t="shared" si="33"/>
        <v>5.9807931408285267E-3</v>
      </c>
      <c r="V251" s="21">
        <f>S251-[1]FPG!S251-'[1]C.E.'!S251</f>
        <v>0</v>
      </c>
      <c r="W251" s="22"/>
    </row>
    <row r="252" spans="1:23" outlineLevel="1" x14ac:dyDescent="0.2">
      <c r="A252" s="9"/>
      <c r="B252" s="48"/>
      <c r="C252" s="31">
        <v>400160</v>
      </c>
      <c r="D252" s="44" t="s">
        <v>227</v>
      </c>
      <c r="E252" s="33"/>
      <c r="F252" s="34">
        <f>[1]FPG!F252+'[1]C.E.'!F252+[1]SAP!F252</f>
        <v>4666.666666666667</v>
      </c>
      <c r="G252" s="34">
        <f>[1]FPG!G252+'[1]C.E.'!G252+[1]SAP!G252</f>
        <v>4666.666666666667</v>
      </c>
      <c r="H252" s="34">
        <f>[1]FPG!H252+'[1]C.E.'!H252+[1]SAP!H252</f>
        <v>4666.666666666667</v>
      </c>
      <c r="I252" s="34">
        <f>[1]FPG!I252+'[1]C.E.'!I252+[1]SAP!I252</f>
        <v>4666.666666666667</v>
      </c>
      <c r="J252" s="34">
        <f>[1]FPG!J252+'[1]C.E.'!J252+[1]SAP!J252</f>
        <v>4666.666666666667</v>
      </c>
      <c r="K252" s="34">
        <f>[1]FPG!K252+'[1]C.E.'!K252+[1]SAP!K252</f>
        <v>4666.666666666667</v>
      </c>
      <c r="L252" s="34">
        <f>[1]FPG!L252+'[1]C.E.'!L252+[1]SAP!L252</f>
        <v>4666.666666666667</v>
      </c>
      <c r="M252" s="34">
        <f>[1]FPG!M252+'[1]C.E.'!M252+[1]SAP!M252</f>
        <v>4666.666666666667</v>
      </c>
      <c r="N252" s="34">
        <f>[1]FPG!N252+'[1]C.E.'!N252+[1]SAP!N252</f>
        <v>4666.666666666667</v>
      </c>
      <c r="O252" s="34">
        <f>[1]FPG!O252+'[1]C.E.'!O252+[1]SAP!O252</f>
        <v>4666.666666666667</v>
      </c>
      <c r="P252" s="34">
        <f>[1]FPG!P252+'[1]C.E.'!P252+[1]SAP!P252</f>
        <v>4666.666666666667</v>
      </c>
      <c r="Q252" s="34">
        <f>[1]FPG!Q252+'[1]C.E.'!Q252+[1]SAP!Q252</f>
        <v>4666.666666666667</v>
      </c>
      <c r="R252" s="27"/>
      <c r="S252" s="35">
        <f t="shared" si="27"/>
        <v>55999.999999999993</v>
      </c>
      <c r="T252" s="36">
        <f t="shared" si="33"/>
        <v>4.7846345126628205E-3</v>
      </c>
      <c r="V252" s="21">
        <f>S252-[1]FPG!S252-'[1]C.E.'!S252</f>
        <v>0</v>
      </c>
      <c r="W252" s="22"/>
    </row>
    <row r="253" spans="1:23" hidden="1" outlineLevel="1" x14ac:dyDescent="0.2">
      <c r="A253" s="9"/>
      <c r="B253" s="48"/>
      <c r="C253" s="31">
        <v>400161</v>
      </c>
      <c r="D253" s="32" t="s">
        <v>228</v>
      </c>
      <c r="E253" s="33"/>
      <c r="F253" s="34">
        <f>[1]FPG!F253+'[1]C.E.'!F253+[1]SAP!F253</f>
        <v>0</v>
      </c>
      <c r="G253" s="34">
        <f>[1]FPG!G253+'[1]C.E.'!G253+[1]SAP!G253</f>
        <v>0</v>
      </c>
      <c r="H253" s="34">
        <f>[1]FPG!H253+'[1]C.E.'!H253+[1]SAP!H253</f>
        <v>0</v>
      </c>
      <c r="I253" s="34">
        <f>[1]FPG!I253+'[1]C.E.'!I253+[1]SAP!I253</f>
        <v>0</v>
      </c>
      <c r="J253" s="34">
        <f>[1]FPG!J253+'[1]C.E.'!J253+[1]SAP!J253</f>
        <v>0</v>
      </c>
      <c r="K253" s="34">
        <f>[1]FPG!K253+'[1]C.E.'!K253+[1]SAP!K253</f>
        <v>0</v>
      </c>
      <c r="L253" s="34">
        <f>[1]FPG!L253+'[1]C.E.'!L253+[1]SAP!L253</f>
        <v>0</v>
      </c>
      <c r="M253" s="34">
        <f>[1]FPG!M253+'[1]C.E.'!M253+[1]SAP!M253</f>
        <v>0</v>
      </c>
      <c r="N253" s="34">
        <f>[1]FPG!N253+'[1]C.E.'!N253+[1]SAP!N253</f>
        <v>0</v>
      </c>
      <c r="O253" s="34">
        <f>[1]FPG!O253+'[1]C.E.'!O253+[1]SAP!O253</f>
        <v>0</v>
      </c>
      <c r="P253" s="34">
        <f>[1]FPG!P253+'[1]C.E.'!P253+[1]SAP!P253</f>
        <v>0</v>
      </c>
      <c r="Q253" s="34">
        <f>[1]FPG!Q253+'[1]C.E.'!Q253+[1]SAP!Q253</f>
        <v>0</v>
      </c>
      <c r="R253" s="27"/>
      <c r="S253" s="35">
        <f t="shared" si="27"/>
        <v>0</v>
      </c>
      <c r="T253" s="36">
        <f t="shared" si="33"/>
        <v>0</v>
      </c>
      <c r="V253" s="21">
        <f>S253-[1]FPG!S253-'[1]C.E.'!S253</f>
        <v>0</v>
      </c>
      <c r="W253" s="22"/>
    </row>
    <row r="254" spans="1:23" hidden="1" outlineLevel="1" x14ac:dyDescent="0.2">
      <c r="A254" s="9"/>
      <c r="B254" s="48"/>
      <c r="C254" s="31">
        <v>400162</v>
      </c>
      <c r="D254" s="32" t="s">
        <v>229</v>
      </c>
      <c r="E254" s="33"/>
      <c r="F254" s="34">
        <f>[1]FPG!F254+'[1]C.E.'!F254+[1]SAP!F254</f>
        <v>0</v>
      </c>
      <c r="G254" s="34">
        <f>[1]FPG!G254+'[1]C.E.'!G254+[1]SAP!G254</f>
        <v>0</v>
      </c>
      <c r="H254" s="34">
        <f>[1]FPG!H254+'[1]C.E.'!H254+[1]SAP!H254</f>
        <v>0</v>
      </c>
      <c r="I254" s="34">
        <f>[1]FPG!I254+'[1]C.E.'!I254+[1]SAP!I254</f>
        <v>0</v>
      </c>
      <c r="J254" s="34">
        <f>[1]FPG!J254+'[1]C.E.'!J254+[1]SAP!J254</f>
        <v>0</v>
      </c>
      <c r="K254" s="34">
        <f>[1]FPG!K254+'[1]C.E.'!K254+[1]SAP!K254</f>
        <v>0</v>
      </c>
      <c r="L254" s="34">
        <f>[1]FPG!L254+'[1]C.E.'!L254+[1]SAP!L254</f>
        <v>0</v>
      </c>
      <c r="M254" s="34">
        <f>[1]FPG!M254+'[1]C.E.'!M254+[1]SAP!M254</f>
        <v>0</v>
      </c>
      <c r="N254" s="34">
        <f>[1]FPG!N254+'[1]C.E.'!N254+[1]SAP!N254</f>
        <v>0</v>
      </c>
      <c r="O254" s="34">
        <f>[1]FPG!O254+'[1]C.E.'!O254+[1]SAP!O254</f>
        <v>0</v>
      </c>
      <c r="P254" s="34">
        <f>[1]FPG!P254+'[1]C.E.'!P254+[1]SAP!P254</f>
        <v>0</v>
      </c>
      <c r="Q254" s="34">
        <f>[1]FPG!Q254+'[1]C.E.'!Q254+[1]SAP!Q254</f>
        <v>0</v>
      </c>
      <c r="R254" s="27"/>
      <c r="S254" s="35">
        <f t="shared" si="27"/>
        <v>0</v>
      </c>
      <c r="T254" s="36">
        <f t="shared" si="33"/>
        <v>0</v>
      </c>
      <c r="V254" s="21">
        <f>S254-[1]FPG!S254-'[1]C.E.'!S254</f>
        <v>0</v>
      </c>
      <c r="W254" s="22"/>
    </row>
    <row r="255" spans="1:23" hidden="1" outlineLevel="1" x14ac:dyDescent="0.2">
      <c r="A255" s="9"/>
      <c r="B255" s="48"/>
      <c r="C255" s="31">
        <v>400163</v>
      </c>
      <c r="D255" s="32" t="s">
        <v>230</v>
      </c>
      <c r="E255" s="33"/>
      <c r="F255" s="34">
        <f>[1]FPG!F255+'[1]C.E.'!F255+[1]SAP!F255</f>
        <v>0</v>
      </c>
      <c r="G255" s="34">
        <f>[1]FPG!G255+'[1]C.E.'!G255+[1]SAP!G255</f>
        <v>0</v>
      </c>
      <c r="H255" s="34">
        <f>[1]FPG!H255+'[1]C.E.'!H255+[1]SAP!H255</f>
        <v>0</v>
      </c>
      <c r="I255" s="34">
        <f>[1]FPG!I255+'[1]C.E.'!I255+[1]SAP!I255</f>
        <v>0</v>
      </c>
      <c r="J255" s="34">
        <f>[1]FPG!J255+'[1]C.E.'!J255+[1]SAP!J255</f>
        <v>0</v>
      </c>
      <c r="K255" s="34">
        <f>[1]FPG!K255+'[1]C.E.'!K255+[1]SAP!K255</f>
        <v>0</v>
      </c>
      <c r="L255" s="34">
        <f>[1]FPG!L255+'[1]C.E.'!L255+[1]SAP!L255</f>
        <v>0</v>
      </c>
      <c r="M255" s="34">
        <f>[1]FPG!M255+'[1]C.E.'!M255+[1]SAP!M255</f>
        <v>0</v>
      </c>
      <c r="N255" s="34">
        <f>[1]FPG!N255+'[1]C.E.'!N255+[1]SAP!N255</f>
        <v>0</v>
      </c>
      <c r="O255" s="34">
        <f>[1]FPG!O255+'[1]C.E.'!O255+[1]SAP!O255</f>
        <v>0</v>
      </c>
      <c r="P255" s="34">
        <f>[1]FPG!P255+'[1]C.E.'!P255+[1]SAP!P255</f>
        <v>0</v>
      </c>
      <c r="Q255" s="34">
        <f>[1]FPG!Q255+'[1]C.E.'!Q255+[1]SAP!Q255</f>
        <v>0</v>
      </c>
      <c r="R255" s="27"/>
      <c r="S255" s="35">
        <f t="shared" si="27"/>
        <v>0</v>
      </c>
      <c r="T255" s="36">
        <f t="shared" si="33"/>
        <v>0</v>
      </c>
      <c r="V255" s="21">
        <f>S255-[1]FPG!S255-'[1]C.E.'!S255</f>
        <v>0</v>
      </c>
      <c r="W255" s="22"/>
    </row>
    <row r="256" spans="1:23" outlineLevel="1" x14ac:dyDescent="0.2">
      <c r="A256" s="9"/>
      <c r="B256" s="48"/>
      <c r="C256" s="31">
        <v>400164</v>
      </c>
      <c r="D256" s="32" t="s">
        <v>231</v>
      </c>
      <c r="E256" s="33"/>
      <c r="F256" s="34">
        <f>[1]FPG!F256+'[1]C.E.'!F256+[1]SAP!F256</f>
        <v>100</v>
      </c>
      <c r="G256" s="34">
        <f>[1]FPG!G256+'[1]C.E.'!G256+[1]SAP!G256</f>
        <v>100</v>
      </c>
      <c r="H256" s="34">
        <f>[1]FPG!H256+'[1]C.E.'!H256+[1]SAP!H256</f>
        <v>100</v>
      </c>
      <c r="I256" s="34">
        <f>[1]FPG!I256+'[1]C.E.'!I256+[1]SAP!I256</f>
        <v>100</v>
      </c>
      <c r="J256" s="34">
        <f>[1]FPG!J256+'[1]C.E.'!J256+[1]SAP!J256</f>
        <v>100</v>
      </c>
      <c r="K256" s="34">
        <f>[1]FPG!K256+'[1]C.E.'!K256+[1]SAP!K256</f>
        <v>100</v>
      </c>
      <c r="L256" s="34">
        <f>[1]FPG!L256+'[1]C.E.'!L256+[1]SAP!L256</f>
        <v>100</v>
      </c>
      <c r="M256" s="34">
        <f>[1]FPG!M256+'[1]C.E.'!M256+[1]SAP!M256</f>
        <v>100</v>
      </c>
      <c r="N256" s="34">
        <f>[1]FPG!N256+'[1]C.E.'!N256+[1]SAP!N256</f>
        <v>100</v>
      </c>
      <c r="O256" s="34">
        <f>[1]FPG!O256+'[1]C.E.'!O256+[1]SAP!O256</f>
        <v>100</v>
      </c>
      <c r="P256" s="34">
        <f>[1]FPG!P256+'[1]C.E.'!P256+[1]SAP!P256</f>
        <v>100</v>
      </c>
      <c r="Q256" s="34">
        <f>[1]FPG!Q256+'[1]C.E.'!Q256+[1]SAP!Q256</f>
        <v>100</v>
      </c>
      <c r="R256" s="27"/>
      <c r="S256" s="35">
        <f t="shared" si="27"/>
        <v>1200</v>
      </c>
      <c r="T256" s="36">
        <f t="shared" si="33"/>
        <v>1.0252788241420331E-4</v>
      </c>
      <c r="V256" s="21">
        <f>S256-[1]FPG!S256-'[1]C.E.'!S256</f>
        <v>0</v>
      </c>
      <c r="W256" s="22"/>
    </row>
    <row r="257" spans="1:23" outlineLevel="1" x14ac:dyDescent="0.2">
      <c r="A257" s="9"/>
      <c r="B257" s="48"/>
      <c r="C257" s="31">
        <v>400165</v>
      </c>
      <c r="D257" s="32" t="s">
        <v>232</v>
      </c>
      <c r="E257" s="33"/>
      <c r="F257" s="34">
        <f>[1]FPG!F257+'[1]C.E.'!F257+[1]SAP!F257</f>
        <v>15442.5</v>
      </c>
      <c r="G257" s="34">
        <f>[1]FPG!G257+'[1]C.E.'!G257+[1]SAP!G257</f>
        <v>15442.5</v>
      </c>
      <c r="H257" s="34">
        <f>[1]FPG!H257+'[1]C.E.'!H257+[1]SAP!H257</f>
        <v>15442.5</v>
      </c>
      <c r="I257" s="34">
        <f>[1]FPG!I257+'[1]C.E.'!I257+[1]SAP!I257</f>
        <v>15442.5</v>
      </c>
      <c r="J257" s="34">
        <f>[1]FPG!J257+'[1]C.E.'!J257+[1]SAP!J257</f>
        <v>15442.5</v>
      </c>
      <c r="K257" s="34">
        <f>[1]FPG!K257+'[1]C.E.'!K257+[1]SAP!K257</f>
        <v>15442.5</v>
      </c>
      <c r="L257" s="34">
        <f>[1]FPG!L257+'[1]C.E.'!L257+[1]SAP!L257</f>
        <v>15442.5</v>
      </c>
      <c r="M257" s="34">
        <f>[1]FPG!M257+'[1]C.E.'!M257+[1]SAP!M257</f>
        <v>15442.5</v>
      </c>
      <c r="N257" s="34">
        <f>[1]FPG!N257+'[1]C.E.'!N257+[1]SAP!N257</f>
        <v>15442.5</v>
      </c>
      <c r="O257" s="34">
        <f>[1]FPG!O257+'[1]C.E.'!O257+[1]SAP!O257</f>
        <v>15442.5</v>
      </c>
      <c r="P257" s="34">
        <f>[1]FPG!P257+'[1]C.E.'!P257+[1]SAP!P257</f>
        <v>15442.5</v>
      </c>
      <c r="Q257" s="34">
        <f>[1]FPG!Q257+'[1]C.E.'!Q257+[1]SAP!Q257</f>
        <v>15442.5</v>
      </c>
      <c r="R257" s="27"/>
      <c r="S257" s="35">
        <f t="shared" si="27"/>
        <v>185310</v>
      </c>
      <c r="T257" s="36">
        <f t="shared" si="33"/>
        <v>1.5832868241813347E-2</v>
      </c>
      <c r="V257" s="21">
        <f>S257-[1]FPG!S257-'[1]C.E.'!S257</f>
        <v>0</v>
      </c>
      <c r="W257" s="22"/>
    </row>
    <row r="258" spans="1:23" outlineLevel="1" x14ac:dyDescent="0.2">
      <c r="A258" s="9"/>
      <c r="B258" s="48"/>
      <c r="C258" s="31">
        <v>400166</v>
      </c>
      <c r="D258" s="32" t="s">
        <v>233</v>
      </c>
      <c r="E258" s="33"/>
      <c r="F258" s="34">
        <f>[1]FPG!F258+'[1]C.E.'!F258+[1]SAP!F258</f>
        <v>46537.599999999991</v>
      </c>
      <c r="G258" s="34">
        <f>[1]FPG!G258+'[1]C.E.'!G258+[1]SAP!G258</f>
        <v>46537.599999999991</v>
      </c>
      <c r="H258" s="34">
        <f>[1]FPG!H258+'[1]C.E.'!H258+[1]SAP!H258</f>
        <v>46537.599999999991</v>
      </c>
      <c r="I258" s="34">
        <f>[1]FPG!I258+'[1]C.E.'!I258+[1]SAP!I258</f>
        <v>46537.599999999991</v>
      </c>
      <c r="J258" s="34">
        <f>[1]FPG!J258+'[1]C.E.'!J258+[1]SAP!J258</f>
        <v>46537.599999999991</v>
      </c>
      <c r="K258" s="34">
        <f>[1]FPG!K258+'[1]C.E.'!K258+[1]SAP!K258</f>
        <v>57537.599999999991</v>
      </c>
      <c r="L258" s="34">
        <f>[1]FPG!L258+'[1]C.E.'!L258+[1]SAP!L258</f>
        <v>46537.599999999991</v>
      </c>
      <c r="M258" s="34">
        <f>[1]FPG!M258+'[1]C.E.'!M258+[1]SAP!M258</f>
        <v>46537.599999999991</v>
      </c>
      <c r="N258" s="34">
        <f>[1]FPG!N258+'[1]C.E.'!N258+[1]SAP!N258</f>
        <v>46537.599999999991</v>
      </c>
      <c r="O258" s="34">
        <f>[1]FPG!O258+'[1]C.E.'!O258+[1]SAP!O258</f>
        <v>46537.599999999991</v>
      </c>
      <c r="P258" s="34">
        <f>[1]FPG!P258+'[1]C.E.'!P258+[1]SAP!P258</f>
        <v>51077.055999999997</v>
      </c>
      <c r="Q258" s="34">
        <f>[1]FPG!Q258+'[1]C.E.'!Q258+[1]SAP!Q258</f>
        <v>62077.055999999997</v>
      </c>
      <c r="R258" s="27"/>
      <c r="S258" s="35">
        <f t="shared" si="27"/>
        <v>589530.11199999985</v>
      </c>
      <c r="T258" s="36">
        <f t="shared" si="33"/>
        <v>5.0369395002306742E-2</v>
      </c>
      <c r="V258" s="21">
        <f>S258-[1]FPG!S258-'[1]C.E.'!S258</f>
        <v>0</v>
      </c>
      <c r="W258" s="22"/>
    </row>
    <row r="259" spans="1:23" outlineLevel="1" x14ac:dyDescent="0.2">
      <c r="A259" s="9"/>
      <c r="B259" s="48"/>
      <c r="C259" s="43">
        <v>400167</v>
      </c>
      <c r="D259" s="44" t="s">
        <v>234</v>
      </c>
      <c r="E259" s="61"/>
      <c r="F259" s="71">
        <f>[1]FPG!F259+'[1]C.E.'!F259+[1]SAP!F259</f>
        <v>1166.6666666666667</v>
      </c>
      <c r="G259" s="71">
        <f>[1]FPG!G259+'[1]C.E.'!G259+[1]SAP!G259</f>
        <v>1166.6666666666667</v>
      </c>
      <c r="H259" s="71">
        <f>[1]FPG!H259+'[1]C.E.'!H259+[1]SAP!H259</f>
        <v>1166.6666666666667</v>
      </c>
      <c r="I259" s="71">
        <f>[1]FPG!I259+'[1]C.E.'!I259+[1]SAP!I259</f>
        <v>1166.6666666666667</v>
      </c>
      <c r="J259" s="71">
        <f>[1]FPG!J259+'[1]C.E.'!J259+[1]SAP!J259</f>
        <v>1166.6666666666667</v>
      </c>
      <c r="K259" s="71">
        <f>[1]FPG!K259+'[1]C.E.'!K259+[1]SAP!K259</f>
        <v>1166.6666666666667</v>
      </c>
      <c r="L259" s="71">
        <f>[1]FPG!L259+'[1]C.E.'!L259+[1]SAP!L259</f>
        <v>1166.6666666666667</v>
      </c>
      <c r="M259" s="71">
        <f>[1]FPG!M259+'[1]C.E.'!M259+[1]SAP!M259</f>
        <v>1166.6666666666667</v>
      </c>
      <c r="N259" s="71">
        <f>[1]FPG!N259+'[1]C.E.'!N259+[1]SAP!N259</f>
        <v>1166.6666666666667</v>
      </c>
      <c r="O259" s="71">
        <f>[1]FPG!O259+'[1]C.E.'!O259+[1]SAP!O259</f>
        <v>1166.6666666666667</v>
      </c>
      <c r="P259" s="71">
        <f>[1]FPG!P259+'[1]C.E.'!P259+[1]SAP!P259</f>
        <v>1166.6666666666667</v>
      </c>
      <c r="Q259" s="71">
        <f>[1]FPG!Q259+'[1]C.E.'!Q259+[1]SAP!Q259</f>
        <v>1166.6666666666667</v>
      </c>
      <c r="R259" s="27"/>
      <c r="S259" s="35">
        <f t="shared" si="27"/>
        <v>13999.999999999998</v>
      </c>
      <c r="T259" s="36">
        <f t="shared" si="33"/>
        <v>1.1961586281657051E-3</v>
      </c>
      <c r="V259" s="21">
        <f>S259-[1]FPG!S259-'[1]C.E.'!S259</f>
        <v>0</v>
      </c>
      <c r="W259" s="22"/>
    </row>
    <row r="260" spans="1:23" hidden="1" outlineLevel="1" x14ac:dyDescent="0.2">
      <c r="A260" s="9"/>
      <c r="B260" s="48"/>
      <c r="C260" s="43">
        <v>400168</v>
      </c>
      <c r="D260" s="44" t="s">
        <v>235</v>
      </c>
      <c r="E260" s="61"/>
      <c r="F260" s="71">
        <f>[1]FPG!F260+'[1]C.E.'!F260+[1]SAP!F260</f>
        <v>0</v>
      </c>
      <c r="G260" s="71">
        <f>[1]FPG!G260+'[1]C.E.'!G260+[1]SAP!G260</f>
        <v>0</v>
      </c>
      <c r="H260" s="71">
        <f>[1]FPG!H260+'[1]C.E.'!H260+[1]SAP!H260</f>
        <v>0</v>
      </c>
      <c r="I260" s="71">
        <f>[1]FPG!I260+'[1]C.E.'!I260+[1]SAP!I260</f>
        <v>0</v>
      </c>
      <c r="J260" s="71">
        <f>[1]FPG!J260+'[1]C.E.'!J260+[1]SAP!J260</f>
        <v>0</v>
      </c>
      <c r="K260" s="71">
        <f>[1]FPG!K260+'[1]C.E.'!K260+[1]SAP!K260</f>
        <v>0</v>
      </c>
      <c r="L260" s="71">
        <f>[1]FPG!L260+'[1]C.E.'!L260+[1]SAP!L260</f>
        <v>0</v>
      </c>
      <c r="M260" s="71">
        <f>[1]FPG!M260+'[1]C.E.'!M260+[1]SAP!M260</f>
        <v>0</v>
      </c>
      <c r="N260" s="71">
        <f>[1]FPG!N260+'[1]C.E.'!N260+[1]SAP!N260</f>
        <v>0</v>
      </c>
      <c r="O260" s="71">
        <f>[1]FPG!O260+'[1]C.E.'!O260+[1]SAP!O260</f>
        <v>0</v>
      </c>
      <c r="P260" s="71">
        <f>[1]FPG!P260+'[1]C.E.'!P260+[1]SAP!P260</f>
        <v>0</v>
      </c>
      <c r="Q260" s="71">
        <f>[1]FPG!Q260+'[1]C.E.'!Q260+[1]SAP!Q260</f>
        <v>0</v>
      </c>
      <c r="R260" s="27"/>
      <c r="S260" s="35">
        <f t="shared" si="27"/>
        <v>0</v>
      </c>
      <c r="T260" s="36">
        <f t="shared" si="33"/>
        <v>0</v>
      </c>
      <c r="V260" s="21">
        <f>S260-[1]FPG!S260-'[1]C.E.'!S260</f>
        <v>0</v>
      </c>
      <c r="W260" s="22"/>
    </row>
    <row r="261" spans="1:23" outlineLevel="1" x14ac:dyDescent="0.2">
      <c r="A261" s="9"/>
      <c r="B261" s="48"/>
      <c r="C261" s="43" t="s">
        <v>236</v>
      </c>
      <c r="D261" s="44" t="s">
        <v>237</v>
      </c>
      <c r="E261" s="61"/>
      <c r="F261" s="71">
        <f>[1]FPG!F261+'[1]C.E.'!F261+[1]SAP!F261</f>
        <v>15000</v>
      </c>
      <c r="G261" s="71">
        <f>[1]FPG!G261+'[1]C.E.'!G261+[1]SAP!G261</f>
        <v>15000</v>
      </c>
      <c r="H261" s="71">
        <f>[1]FPG!H261+'[1]C.E.'!H261+[1]SAP!H261</f>
        <v>15000</v>
      </c>
      <c r="I261" s="71">
        <f>[1]FPG!I261+'[1]C.E.'!I261+[1]SAP!I261</f>
        <v>15000</v>
      </c>
      <c r="J261" s="71">
        <f>[1]FPG!J261+'[1]C.E.'!J261+[1]SAP!J261</f>
        <v>15000</v>
      </c>
      <c r="K261" s="71">
        <f>[1]FPG!K261+'[1]C.E.'!K261+[1]SAP!K261</f>
        <v>15975</v>
      </c>
      <c r="L261" s="71">
        <f>[1]FPG!L261+'[1]C.E.'!L261+[1]SAP!L261</f>
        <v>15975</v>
      </c>
      <c r="M261" s="71">
        <f>[1]FPG!M261+'[1]C.E.'!M261+[1]SAP!M261</f>
        <v>31950</v>
      </c>
      <c r="N261" s="71">
        <f>[1]FPG!N261+'[1]C.E.'!N261+[1]SAP!N261</f>
        <v>15975</v>
      </c>
      <c r="O261" s="71">
        <f>[1]FPG!O261+'[1]C.E.'!O261+[1]SAP!O261</f>
        <v>15975</v>
      </c>
      <c r="P261" s="71">
        <f>[1]FPG!P261+'[1]C.E.'!P261+[1]SAP!P261</f>
        <v>15975</v>
      </c>
      <c r="Q261" s="71">
        <f>[1]FPG!Q261+'[1]C.E.'!Q261+[1]SAP!Q261</f>
        <v>15975</v>
      </c>
      <c r="R261" s="27"/>
      <c r="S261" s="35">
        <f t="shared" si="27"/>
        <v>202800</v>
      </c>
      <c r="T261" s="36">
        <f t="shared" si="33"/>
        <v>1.7327212128000362E-2</v>
      </c>
      <c r="V261" s="21">
        <f>S261-[1]FPG!S261-'[1]C.E.'!S261</f>
        <v>0</v>
      </c>
      <c r="W261" s="22"/>
    </row>
    <row r="262" spans="1:23" ht="20.399999999999999" outlineLevel="1" x14ac:dyDescent="0.2">
      <c r="A262" s="9"/>
      <c r="B262" s="48"/>
      <c r="C262" s="39">
        <v>400170</v>
      </c>
      <c r="D262" s="72" t="s">
        <v>237</v>
      </c>
      <c r="E262" s="73"/>
      <c r="F262" s="74">
        <f>[1]FPG!F262+'[1]C.E.'!F262+[1]SAP!F262</f>
        <v>73436.86820600272</v>
      </c>
      <c r="G262" s="74">
        <f>[1]FPG!G262+'[1]C.E.'!G262+[1]SAP!G262</f>
        <v>73436.86820600272</v>
      </c>
      <c r="H262" s="74">
        <f>[1]FPG!H262+'[1]C.E.'!H262+[1]SAP!H262</f>
        <v>73436.86820600272</v>
      </c>
      <c r="I262" s="74">
        <f>[1]FPG!I262+'[1]C.E.'!I262+[1]SAP!I262</f>
        <v>73436.86820600272</v>
      </c>
      <c r="J262" s="74">
        <f>[1]FPG!J262+'[1]C.E.'!J262+[1]SAP!J262</f>
        <v>73436.86820600272</v>
      </c>
      <c r="K262" s="74">
        <f>[1]FPG!K262+'[1]C.E.'!K262+[1]SAP!K262</f>
        <v>73436.86820600272</v>
      </c>
      <c r="L262" s="74">
        <f>[1]FPG!L262+'[1]C.E.'!L262+[1]SAP!L262</f>
        <v>73436.86820600272</v>
      </c>
      <c r="M262" s="74">
        <f>[1]FPG!M262+'[1]C.E.'!M262+[1]SAP!M262</f>
        <v>73436.86820600272</v>
      </c>
      <c r="N262" s="74">
        <f>[1]FPG!N262+'[1]C.E.'!N262+[1]SAP!N262</f>
        <v>73436.86820600272</v>
      </c>
      <c r="O262" s="74">
        <f>[1]FPG!O262+'[1]C.E.'!O262+[1]SAP!O262</f>
        <v>73436.86820600272</v>
      </c>
      <c r="P262" s="74">
        <f>[1]FPG!P262+'[1]C.E.'!P262+[1]SAP!P262</f>
        <v>73436.86820600272</v>
      </c>
      <c r="Q262" s="74">
        <f>[1]FPG!Q262+'[1]C.E.'!Q262+[1]SAP!Q262</f>
        <v>73436.86820600272</v>
      </c>
      <c r="R262" s="27"/>
      <c r="S262" s="35">
        <f t="shared" si="27"/>
        <v>881242.41847203288</v>
      </c>
      <c r="T262" s="36">
        <f t="shared" si="33"/>
        <v>7.5293265882923954E-2</v>
      </c>
      <c r="V262" s="21">
        <f>S262-[1]FPG!S262-'[1]C.E.'!S262</f>
        <v>0</v>
      </c>
      <c r="W262" s="22"/>
    </row>
    <row r="263" spans="1:23" ht="20.399999999999999" outlineLevel="1" x14ac:dyDescent="0.2">
      <c r="A263" s="9"/>
      <c r="B263" s="48"/>
      <c r="C263" s="39">
        <v>400171</v>
      </c>
      <c r="D263" s="72" t="s">
        <v>238</v>
      </c>
      <c r="E263" s="73"/>
      <c r="F263" s="74">
        <f>[1]FPG!F263+'[1]C.E.'!F263+[1]SAP!F263</f>
        <v>20000</v>
      </c>
      <c r="G263" s="74">
        <f>[1]FPG!G263+'[1]C.E.'!G263+[1]SAP!G263</f>
        <v>20000</v>
      </c>
      <c r="H263" s="74">
        <f>[1]FPG!H263+'[1]C.E.'!H263+[1]SAP!H263</f>
        <v>20000</v>
      </c>
      <c r="I263" s="74">
        <f>[1]FPG!I263+'[1]C.E.'!I263+[1]SAP!I263</f>
        <v>20000</v>
      </c>
      <c r="J263" s="74">
        <f>[1]FPG!J263+'[1]C.E.'!J263+[1]SAP!J263</f>
        <v>20000</v>
      </c>
      <c r="K263" s="74">
        <f>[1]FPG!K263+'[1]C.E.'!K263+[1]SAP!K263</f>
        <v>20000</v>
      </c>
      <c r="L263" s="74">
        <f>[1]FPG!L263+'[1]C.E.'!L263+[1]SAP!L263</f>
        <v>20000</v>
      </c>
      <c r="M263" s="74">
        <f>[1]FPG!M263+'[1]C.E.'!M263+[1]SAP!M263</f>
        <v>20000</v>
      </c>
      <c r="N263" s="74">
        <f>[1]FPG!N263+'[1]C.E.'!N263+[1]SAP!N263</f>
        <v>20000</v>
      </c>
      <c r="O263" s="74">
        <f>[1]FPG!O263+'[1]C.E.'!O263+[1]SAP!O263</f>
        <v>20000</v>
      </c>
      <c r="P263" s="74">
        <f>[1]FPG!P263+'[1]C.E.'!P263+[1]SAP!P263</f>
        <v>20000</v>
      </c>
      <c r="Q263" s="74">
        <f>[1]FPG!Q263+'[1]C.E.'!Q263+[1]SAP!Q263</f>
        <v>40000</v>
      </c>
      <c r="R263" s="27"/>
      <c r="S263" s="35">
        <f t="shared" si="27"/>
        <v>260000</v>
      </c>
      <c r="T263" s="36">
        <f t="shared" si="33"/>
        <v>2.2214374523077385E-2</v>
      </c>
      <c r="V263" s="21">
        <f>S263-[1]FPG!S263-'[1]C.E.'!S263</f>
        <v>0</v>
      </c>
      <c r="W263" s="22"/>
    </row>
    <row r="264" spans="1:23" ht="30.6" outlineLevel="1" x14ac:dyDescent="0.2">
      <c r="A264" s="9"/>
      <c r="B264" s="48"/>
      <c r="C264" s="31">
        <v>400172</v>
      </c>
      <c r="D264" s="62" t="s">
        <v>239</v>
      </c>
      <c r="E264" s="33"/>
      <c r="F264" s="34">
        <f>[1]FPG!F264+'[1]C.E.'!F264+[1]SAP!F264</f>
        <v>9583.3333333333321</v>
      </c>
      <c r="G264" s="34">
        <f>[1]FPG!G264+'[1]C.E.'!G264+[1]SAP!G264</f>
        <v>9583.3333333333321</v>
      </c>
      <c r="H264" s="34">
        <f>[1]FPG!H264+'[1]C.E.'!H264+[1]SAP!H264</f>
        <v>9583.3333333333321</v>
      </c>
      <c r="I264" s="34">
        <f>[1]FPG!I264+'[1]C.E.'!I264+[1]SAP!I264</f>
        <v>9583.3333333333321</v>
      </c>
      <c r="J264" s="34">
        <f>[1]FPG!J264+'[1]C.E.'!J264+[1]SAP!J264</f>
        <v>9583.3333333333321</v>
      </c>
      <c r="K264" s="34">
        <f>[1]FPG!K264+'[1]C.E.'!K264+[1]SAP!K264</f>
        <v>9583.3333333333321</v>
      </c>
      <c r="L264" s="34">
        <f>[1]FPG!L264+'[1]C.E.'!L264+[1]SAP!L264</f>
        <v>9583.3333333333321</v>
      </c>
      <c r="M264" s="34">
        <f>[1]FPG!M264+'[1]C.E.'!M264+[1]SAP!M264</f>
        <v>9583.3333333333321</v>
      </c>
      <c r="N264" s="34">
        <f>[1]FPG!N264+'[1]C.E.'!N264+[1]SAP!N264</f>
        <v>9583.3333333333321</v>
      </c>
      <c r="O264" s="34">
        <f>[1]FPG!O264+'[1]C.E.'!O264+[1]SAP!O264</f>
        <v>9583.3333333333321</v>
      </c>
      <c r="P264" s="34">
        <f>[1]FPG!P264+'[1]C.E.'!P264+[1]SAP!P264</f>
        <v>9583.3333333333321</v>
      </c>
      <c r="Q264" s="34">
        <f>[1]FPG!Q264+'[1]C.E.'!Q264+[1]SAP!Q264</f>
        <v>9583.3333333333321</v>
      </c>
      <c r="R264" s="27"/>
      <c r="S264" s="35">
        <f t="shared" si="27"/>
        <v>114999.99999999996</v>
      </c>
      <c r="T264" s="36">
        <f t="shared" si="33"/>
        <v>9.8255887313611467E-3</v>
      </c>
      <c r="V264" s="21">
        <f>S264-[1]FPG!S264-'[1]C.E.'!S264</f>
        <v>0</v>
      </c>
      <c r="W264" s="22"/>
    </row>
    <row r="265" spans="1:23" outlineLevel="1" x14ac:dyDescent="0.2">
      <c r="A265" s="9"/>
      <c r="B265" s="48"/>
      <c r="C265" s="31">
        <v>400173</v>
      </c>
      <c r="D265" s="32" t="s">
        <v>240</v>
      </c>
      <c r="E265" s="33"/>
      <c r="F265" s="34">
        <f>[1]FPG!F265+'[1]C.E.'!F265+[1]SAP!F265</f>
        <v>1415.2466666666667</v>
      </c>
      <c r="G265" s="34">
        <f>[1]FPG!G265+'[1]C.E.'!G265+[1]SAP!G265</f>
        <v>1415.2466666666667</v>
      </c>
      <c r="H265" s="34">
        <f>[1]FPG!H265+'[1]C.E.'!H265+[1]SAP!H265</f>
        <v>1415.2466666666667</v>
      </c>
      <c r="I265" s="34">
        <f>[1]FPG!I265+'[1]C.E.'!I265+[1]SAP!I265</f>
        <v>1415.2466666666667</v>
      </c>
      <c r="J265" s="34">
        <f>[1]FPG!J265+'[1]C.E.'!J265+[1]SAP!J265</f>
        <v>1415.2466666666667</v>
      </c>
      <c r="K265" s="34">
        <f>[1]FPG!K265+'[1]C.E.'!K265+[1]SAP!K265</f>
        <v>1463.0476666666668</v>
      </c>
      <c r="L265" s="34">
        <f>[1]FPG!L265+'[1]C.E.'!L265+[1]SAP!L265</f>
        <v>1463.0476666666668</v>
      </c>
      <c r="M265" s="34">
        <f>[1]FPG!M265+'[1]C.E.'!M265+[1]SAP!M265</f>
        <v>1463.0476666666668</v>
      </c>
      <c r="N265" s="34">
        <f>[1]FPG!N265+'[1]C.E.'!N265+[1]SAP!N265</f>
        <v>1463.0476666666668</v>
      </c>
      <c r="O265" s="34">
        <f>[1]FPG!O265+'[1]C.E.'!O265+[1]SAP!O265</f>
        <v>1480.1543666666669</v>
      </c>
      <c r="P265" s="34">
        <f>[1]FPG!P265+'[1]C.E.'!P265+[1]SAP!P265</f>
        <v>1480.1543666666669</v>
      </c>
      <c r="Q265" s="34">
        <f>[1]FPG!Q265+'[1]C.E.'!Q265+[1]SAP!Q265</f>
        <v>1480.1543666666669</v>
      </c>
      <c r="R265" s="27"/>
      <c r="S265" s="35">
        <f t="shared" si="27"/>
        <v>17368.887100000004</v>
      </c>
      <c r="T265" s="36">
        <f t="shared" si="33"/>
        <v>1.4839960118786443E-3</v>
      </c>
      <c r="V265" s="21">
        <f>S265-[1]FPG!S265-'[1]C.E.'!S265</f>
        <v>0</v>
      </c>
      <c r="W265" s="22"/>
    </row>
    <row r="266" spans="1:23" outlineLevel="1" x14ac:dyDescent="0.2">
      <c r="A266" s="9"/>
      <c r="B266" s="48"/>
      <c r="C266" s="31">
        <v>400174</v>
      </c>
      <c r="D266" s="32" t="s">
        <v>241</v>
      </c>
      <c r="E266" s="33"/>
      <c r="F266" s="34">
        <f>[1]FPG!F266+'[1]C.E.'!F266+[1]SAP!F266</f>
        <v>666.66666666666663</v>
      </c>
      <c r="G266" s="34">
        <f>[1]FPG!G266+'[1]C.E.'!G266+[1]SAP!G266</f>
        <v>666.66666666666663</v>
      </c>
      <c r="H266" s="34">
        <f>[1]FPG!H266+'[1]C.E.'!H266+[1]SAP!H266</f>
        <v>666.66666666666663</v>
      </c>
      <c r="I266" s="34">
        <f>[1]FPG!I266+'[1]C.E.'!I266+[1]SAP!I266</f>
        <v>666.66666666666663</v>
      </c>
      <c r="J266" s="34">
        <f>[1]FPG!J266+'[1]C.E.'!J266+[1]SAP!J266</f>
        <v>666.66666666666663</v>
      </c>
      <c r="K266" s="34">
        <f>[1]FPG!K266+'[1]C.E.'!K266+[1]SAP!K266</f>
        <v>666.66666666666663</v>
      </c>
      <c r="L266" s="34">
        <f>[1]FPG!L266+'[1]C.E.'!L266+[1]SAP!L266</f>
        <v>666.66666666666663</v>
      </c>
      <c r="M266" s="34">
        <f>[1]FPG!M266+'[1]C.E.'!M266+[1]SAP!M266</f>
        <v>666.66666666666663</v>
      </c>
      <c r="N266" s="34">
        <f>[1]FPG!N266+'[1]C.E.'!N266+[1]SAP!N266</f>
        <v>666.66666666666663</v>
      </c>
      <c r="O266" s="34">
        <f>[1]FPG!O266+'[1]C.E.'!O266+[1]SAP!O266</f>
        <v>666.66666666666663</v>
      </c>
      <c r="P266" s="34">
        <f>[1]FPG!P266+'[1]C.E.'!P266+[1]SAP!P266</f>
        <v>666.66666666666663</v>
      </c>
      <c r="Q266" s="34">
        <f>[1]FPG!Q266+'[1]C.E.'!Q266+[1]SAP!Q266</f>
        <v>666.66666666666663</v>
      </c>
      <c r="R266" s="27"/>
      <c r="S266" s="35">
        <f t="shared" si="27"/>
        <v>8000.0000000000009</v>
      </c>
      <c r="T266" s="36">
        <f t="shared" si="33"/>
        <v>6.8351921609468885E-4</v>
      </c>
      <c r="V266" s="21">
        <f>S266-[1]FPG!S266-'[1]C.E.'!S266</f>
        <v>0</v>
      </c>
      <c r="W266" s="22"/>
    </row>
    <row r="267" spans="1:23" outlineLevel="1" x14ac:dyDescent="0.2">
      <c r="A267" s="9"/>
      <c r="B267" s="48"/>
      <c r="C267" s="31">
        <v>400175</v>
      </c>
      <c r="D267" s="32" t="s">
        <v>242</v>
      </c>
      <c r="E267" s="33"/>
      <c r="F267" s="34">
        <f>[1]FPG!F267+'[1]C.E.'!F267+[1]SAP!F267</f>
        <v>11118.649500000001</v>
      </c>
      <c r="G267" s="34">
        <f>[1]FPG!G267+'[1]C.E.'!G267+[1]SAP!G267</f>
        <v>11841.361717500002</v>
      </c>
      <c r="H267" s="34">
        <f>[1]FPG!H267+'[1]C.E.'!H267+[1]SAP!H267</f>
        <v>11841.361717500002</v>
      </c>
      <c r="I267" s="34">
        <f>[1]FPG!I267+'[1]C.E.'!I267+[1]SAP!I267</f>
        <v>11841.361717500002</v>
      </c>
      <c r="J267" s="34">
        <f>[1]FPG!J267+'[1]C.E.'!J267+[1]SAP!J267</f>
        <v>11841.361717500002</v>
      </c>
      <c r="K267" s="34">
        <f>[1]FPG!K267+'[1]C.E.'!K267+[1]SAP!K267</f>
        <v>11841.361717500002</v>
      </c>
      <c r="L267" s="34">
        <f>[1]FPG!L267+'[1]C.E.'!L267+[1]SAP!L267</f>
        <v>11841.361717500002</v>
      </c>
      <c r="M267" s="34">
        <f>[1]FPG!M267+'[1]C.E.'!M267+[1]SAP!M267</f>
        <v>11841.361717500002</v>
      </c>
      <c r="N267" s="34">
        <f>[1]FPG!N267+'[1]C.E.'!N267+[1]SAP!N267</f>
        <v>11841.361717500002</v>
      </c>
      <c r="O267" s="34">
        <f>[1]FPG!O267+'[1]C.E.'!O267+[1]SAP!O267</f>
        <v>11841.361717500002</v>
      </c>
      <c r="P267" s="34">
        <f>[1]FPG!P267+'[1]C.E.'!P267+[1]SAP!P267</f>
        <v>11841.361717500002</v>
      </c>
      <c r="Q267" s="34">
        <f>[1]FPG!Q267+'[1]C.E.'!Q267+[1]SAP!Q267</f>
        <v>11841.361717500002</v>
      </c>
      <c r="R267" s="27"/>
      <c r="S267" s="35">
        <f t="shared" si="27"/>
        <v>141373.62839249999</v>
      </c>
      <c r="T267" s="36">
        <f t="shared" si="33"/>
        <v>1.2078948956912928E-2</v>
      </c>
      <c r="V267" s="21">
        <f>S267-[1]FPG!S267-'[1]C.E.'!S267</f>
        <v>0</v>
      </c>
      <c r="W267" s="22"/>
    </row>
    <row r="268" spans="1:23" x14ac:dyDescent="0.2">
      <c r="A268" s="9"/>
      <c r="B268" s="49" t="s">
        <v>243</v>
      </c>
      <c r="C268" s="49" t="s">
        <v>244</v>
      </c>
      <c r="D268" s="50"/>
      <c r="E268" s="51" t="s">
        <v>57</v>
      </c>
      <c r="F268" s="52">
        <f>SUM(F269:F273)</f>
        <v>4641.666666666667</v>
      </c>
      <c r="G268" s="52">
        <f>SUM(G269:G273)</f>
        <v>17641.666666666668</v>
      </c>
      <c r="H268" s="52">
        <f t="shared" ref="H268:Q268" si="34">SUM(H269:H273)</f>
        <v>4641.666666666667</v>
      </c>
      <c r="I268" s="52">
        <f t="shared" si="34"/>
        <v>4641.666666666667</v>
      </c>
      <c r="J268" s="52">
        <f t="shared" si="34"/>
        <v>4641.666666666667</v>
      </c>
      <c r="K268" s="52">
        <f t="shared" si="34"/>
        <v>204641.66666666666</v>
      </c>
      <c r="L268" s="52">
        <f t="shared" si="34"/>
        <v>4641.666666666667</v>
      </c>
      <c r="M268" s="52">
        <f t="shared" si="34"/>
        <v>4641.666666666667</v>
      </c>
      <c r="N268" s="52">
        <f t="shared" si="34"/>
        <v>4641.666666666667</v>
      </c>
      <c r="O268" s="52">
        <f t="shared" si="34"/>
        <v>4641.666666666667</v>
      </c>
      <c r="P268" s="52">
        <f t="shared" si="34"/>
        <v>4641.666666666667</v>
      </c>
      <c r="Q268" s="52">
        <f t="shared" si="34"/>
        <v>4641.666666666667</v>
      </c>
      <c r="R268" s="27"/>
      <c r="S268" s="28">
        <f t="shared" si="27"/>
        <v>268700</v>
      </c>
      <c r="T268" s="29">
        <f>S268/$S$43</f>
        <v>2.2957701670580359E-2</v>
      </c>
      <c r="V268" s="21">
        <f>S268-[1]FPG!S268-'[1]C.E.'!S268</f>
        <v>0</v>
      </c>
      <c r="W268" s="22"/>
    </row>
    <row r="269" spans="1:23" outlineLevel="1" x14ac:dyDescent="0.2">
      <c r="A269" s="9"/>
      <c r="B269" s="48"/>
      <c r="C269" s="31">
        <v>400176</v>
      </c>
      <c r="D269" s="32" t="s">
        <v>245</v>
      </c>
      <c r="E269" s="33"/>
      <c r="F269" s="34">
        <f>[1]FPG!F269+'[1]C.E.'!F269+[1]SAP!F269</f>
        <v>2450</v>
      </c>
      <c r="G269" s="34">
        <f>[1]FPG!G269+'[1]C.E.'!G269+[1]SAP!G269</f>
        <v>2450</v>
      </c>
      <c r="H269" s="34">
        <f>[1]FPG!H269+'[1]C.E.'!H269+[1]SAP!H269</f>
        <v>2450</v>
      </c>
      <c r="I269" s="34">
        <f>[1]FPG!I269+'[1]C.E.'!I269+[1]SAP!I269</f>
        <v>2450</v>
      </c>
      <c r="J269" s="34">
        <f>[1]FPG!J269+'[1]C.E.'!J269+[1]SAP!J269</f>
        <v>2450</v>
      </c>
      <c r="K269" s="34">
        <f>[1]FPG!K269+'[1]C.E.'!K269+[1]SAP!K269</f>
        <v>2450</v>
      </c>
      <c r="L269" s="34">
        <f>[1]FPG!L269+'[1]C.E.'!L269+[1]SAP!L269</f>
        <v>2450</v>
      </c>
      <c r="M269" s="34">
        <f>[1]FPG!M269+'[1]C.E.'!M269+[1]SAP!M269</f>
        <v>2450</v>
      </c>
      <c r="N269" s="34">
        <f>[1]FPG!N269+'[1]C.E.'!N269+[1]SAP!N269</f>
        <v>2450</v>
      </c>
      <c r="O269" s="34">
        <f>[1]FPG!O269+'[1]C.E.'!O269+[1]SAP!O269</f>
        <v>2450</v>
      </c>
      <c r="P269" s="34">
        <f>[1]FPG!P269+'[1]C.E.'!P269+[1]SAP!P269</f>
        <v>2450</v>
      </c>
      <c r="Q269" s="34">
        <f>[1]FPG!Q269+'[1]C.E.'!Q269+[1]SAP!Q269</f>
        <v>2450</v>
      </c>
      <c r="R269" s="27"/>
      <c r="S269" s="35">
        <f t="shared" si="27"/>
        <v>29400</v>
      </c>
      <c r="T269" s="36">
        <f t="shared" ref="T269:T273" si="35">S269/$S$43</f>
        <v>2.511933119147981E-3</v>
      </c>
      <c r="V269" s="21">
        <f>S269-[1]FPG!S269-'[1]C.E.'!S269</f>
        <v>0</v>
      </c>
      <c r="W269" s="22"/>
    </row>
    <row r="270" spans="1:23" outlineLevel="1" x14ac:dyDescent="0.2">
      <c r="A270" s="9"/>
      <c r="B270" s="48"/>
      <c r="C270" s="31">
        <v>400177</v>
      </c>
      <c r="D270" s="32" t="s">
        <v>246</v>
      </c>
      <c r="E270" s="33"/>
      <c r="F270" s="34">
        <f>[1]FPG!F270+'[1]C.E.'!F270+[1]SAP!F270</f>
        <v>1275</v>
      </c>
      <c r="G270" s="34">
        <f>[1]FPG!G270+'[1]C.E.'!G270+[1]SAP!G270</f>
        <v>1275</v>
      </c>
      <c r="H270" s="34">
        <f>[1]FPG!H270+'[1]C.E.'!H270+[1]SAP!H270</f>
        <v>1275</v>
      </c>
      <c r="I270" s="34">
        <f>[1]FPG!I270+'[1]C.E.'!I270+[1]SAP!I270</f>
        <v>1275</v>
      </c>
      <c r="J270" s="34">
        <f>[1]FPG!J270+'[1]C.E.'!J270+[1]SAP!J270</f>
        <v>1275</v>
      </c>
      <c r="K270" s="34">
        <f>[1]FPG!K270+'[1]C.E.'!K270+[1]SAP!K270</f>
        <v>1275</v>
      </c>
      <c r="L270" s="34">
        <f>[1]FPG!L270+'[1]C.E.'!L270+[1]SAP!L270</f>
        <v>1275</v>
      </c>
      <c r="M270" s="34">
        <f>[1]FPG!M270+'[1]C.E.'!M270+[1]SAP!M270</f>
        <v>1275</v>
      </c>
      <c r="N270" s="34">
        <f>[1]FPG!N270+'[1]C.E.'!N270+[1]SAP!N270</f>
        <v>1275</v>
      </c>
      <c r="O270" s="34">
        <f>[1]FPG!O270+'[1]C.E.'!O270+[1]SAP!O270</f>
        <v>1275</v>
      </c>
      <c r="P270" s="34">
        <f>[1]FPG!P270+'[1]C.E.'!P270+[1]SAP!P270</f>
        <v>1275</v>
      </c>
      <c r="Q270" s="34">
        <f>[1]FPG!Q270+'[1]C.E.'!Q270+[1]SAP!Q270</f>
        <v>1275</v>
      </c>
      <c r="R270" s="27"/>
      <c r="S270" s="35">
        <f t="shared" si="27"/>
        <v>15300</v>
      </c>
      <c r="T270" s="36">
        <f t="shared" si="35"/>
        <v>1.3072305007810923E-3</v>
      </c>
      <c r="V270" s="21">
        <f>S270-[1]FPG!S270-'[1]C.E.'!S270</f>
        <v>0</v>
      </c>
      <c r="W270" s="22"/>
    </row>
    <row r="271" spans="1:23" outlineLevel="1" x14ac:dyDescent="0.2">
      <c r="A271" s="9"/>
      <c r="B271" s="48"/>
      <c r="C271" s="31">
        <v>400178</v>
      </c>
      <c r="D271" s="32" t="s">
        <v>247</v>
      </c>
      <c r="E271" s="33"/>
      <c r="F271" s="34">
        <f>[1]FPG!F271+'[1]C.E.'!F271+[1]SAP!F271</f>
        <v>466.66666666666663</v>
      </c>
      <c r="G271" s="34">
        <f>[1]FPG!G271+'[1]C.E.'!G271+[1]SAP!G271</f>
        <v>466.66666666666663</v>
      </c>
      <c r="H271" s="34">
        <f>[1]FPG!H271+'[1]C.E.'!H271+[1]SAP!H271</f>
        <v>466.66666666666663</v>
      </c>
      <c r="I271" s="34">
        <f>[1]FPG!I271+'[1]C.E.'!I271+[1]SAP!I271</f>
        <v>466.66666666666663</v>
      </c>
      <c r="J271" s="34">
        <f>[1]FPG!J271+'[1]C.E.'!J271+[1]SAP!J271</f>
        <v>466.66666666666663</v>
      </c>
      <c r="K271" s="34">
        <f>[1]FPG!K271+'[1]C.E.'!K271+[1]SAP!K271</f>
        <v>466.66666666666663</v>
      </c>
      <c r="L271" s="34">
        <f>[1]FPG!L271+'[1]C.E.'!L271+[1]SAP!L271</f>
        <v>466.66666666666663</v>
      </c>
      <c r="M271" s="34">
        <f>[1]FPG!M271+'[1]C.E.'!M271+[1]SAP!M271</f>
        <v>466.66666666666663</v>
      </c>
      <c r="N271" s="34">
        <f>[1]FPG!N271+'[1]C.E.'!N271+[1]SAP!N271</f>
        <v>466.66666666666663</v>
      </c>
      <c r="O271" s="34">
        <f>[1]FPG!O271+'[1]C.E.'!O271+[1]SAP!O271</f>
        <v>466.66666666666663</v>
      </c>
      <c r="P271" s="34">
        <f>[1]FPG!P271+'[1]C.E.'!P271+[1]SAP!P271</f>
        <v>466.66666666666663</v>
      </c>
      <c r="Q271" s="34">
        <f>[1]FPG!Q271+'[1]C.E.'!Q271+[1]SAP!Q271</f>
        <v>466.66666666666663</v>
      </c>
      <c r="R271" s="27"/>
      <c r="S271" s="35">
        <f t="shared" si="27"/>
        <v>5600</v>
      </c>
      <c r="T271" s="36">
        <f t="shared" si="35"/>
        <v>4.7846345126628214E-4</v>
      </c>
      <c r="V271" s="21">
        <f>S271-[1]FPG!S271-'[1]C.E.'!S271</f>
        <v>0</v>
      </c>
      <c r="W271" s="22"/>
    </row>
    <row r="272" spans="1:23" outlineLevel="1" x14ac:dyDescent="0.2">
      <c r="A272" s="9"/>
      <c r="B272" s="48"/>
      <c r="C272" s="31">
        <v>400179</v>
      </c>
      <c r="D272" s="32" t="s">
        <v>248</v>
      </c>
      <c r="E272" s="33"/>
      <c r="F272" s="34">
        <f>[1]FPG!F272+'[1]C.E.'!F272+[1]SAP!F272</f>
        <v>450</v>
      </c>
      <c r="G272" s="34">
        <f>[1]FPG!G272+'[1]C.E.'!G272+[1]SAP!G272</f>
        <v>13450</v>
      </c>
      <c r="H272" s="34">
        <f>[1]FPG!H272+'[1]C.E.'!H272+[1]SAP!H272</f>
        <v>450</v>
      </c>
      <c r="I272" s="34">
        <f>[1]FPG!I272+'[1]C.E.'!I272+[1]SAP!I272</f>
        <v>450</v>
      </c>
      <c r="J272" s="34">
        <f>[1]FPG!J272+'[1]C.E.'!J272+[1]SAP!J272</f>
        <v>450</v>
      </c>
      <c r="K272" s="34">
        <f>[1]FPG!K272+'[1]C.E.'!K272+[1]SAP!K272</f>
        <v>200450</v>
      </c>
      <c r="L272" s="34">
        <f>[1]FPG!L272+'[1]C.E.'!L272+[1]SAP!L272</f>
        <v>450</v>
      </c>
      <c r="M272" s="34">
        <f>[1]FPG!M272+'[1]C.E.'!M272+[1]SAP!M272</f>
        <v>450</v>
      </c>
      <c r="N272" s="34">
        <f>[1]FPG!N272+'[1]C.E.'!N272+[1]SAP!N272</f>
        <v>450</v>
      </c>
      <c r="O272" s="34">
        <f>[1]FPG!O272+'[1]C.E.'!O272+[1]SAP!O272</f>
        <v>450</v>
      </c>
      <c r="P272" s="34">
        <f>[1]FPG!P272+'[1]C.E.'!P272+[1]SAP!P272</f>
        <v>450</v>
      </c>
      <c r="Q272" s="34">
        <f>[1]FPG!Q272+'[1]C.E.'!Q272+[1]SAP!Q272</f>
        <v>450</v>
      </c>
      <c r="R272" s="27"/>
      <c r="S272" s="35">
        <f t="shared" si="27"/>
        <v>218400</v>
      </c>
      <c r="T272" s="36">
        <f t="shared" si="35"/>
        <v>1.8660074599385002E-2</v>
      </c>
      <c r="V272" s="21">
        <f>S272-[1]FPG!S272-'[1]C.E.'!S272</f>
        <v>0</v>
      </c>
      <c r="W272" s="22"/>
    </row>
    <row r="273" spans="1:23" hidden="1" outlineLevel="1" x14ac:dyDescent="0.2">
      <c r="A273" s="9"/>
      <c r="B273" s="48"/>
      <c r="C273" s="31">
        <v>400180</v>
      </c>
      <c r="D273" s="32" t="s">
        <v>249</v>
      </c>
      <c r="E273" s="33"/>
      <c r="F273" s="34">
        <f>[1]FPG!F273+'[1]C.E.'!F273+[1]SAP!F273</f>
        <v>0</v>
      </c>
      <c r="G273" s="34">
        <f>[1]FPG!G273+'[1]C.E.'!G273+[1]SAP!G273</f>
        <v>0</v>
      </c>
      <c r="H273" s="34">
        <f>[1]FPG!H273+'[1]C.E.'!H273+[1]SAP!H273</f>
        <v>0</v>
      </c>
      <c r="I273" s="34">
        <f>[1]FPG!I273+'[1]C.E.'!I273+[1]SAP!I273</f>
        <v>0</v>
      </c>
      <c r="J273" s="34">
        <f>[1]FPG!J273+'[1]C.E.'!J273+[1]SAP!J273</f>
        <v>0</v>
      </c>
      <c r="K273" s="34">
        <f>[1]FPG!K273+'[1]C.E.'!K273+[1]SAP!K273</f>
        <v>0</v>
      </c>
      <c r="L273" s="34">
        <f>[1]FPG!L273+'[1]C.E.'!L273+[1]SAP!L273</f>
        <v>0</v>
      </c>
      <c r="M273" s="34">
        <f>[1]FPG!M273+'[1]C.E.'!M273+[1]SAP!M273</f>
        <v>0</v>
      </c>
      <c r="N273" s="34">
        <f>[1]FPG!N273+'[1]C.E.'!N273+[1]SAP!N273</f>
        <v>0</v>
      </c>
      <c r="O273" s="34">
        <f>[1]FPG!O273+'[1]C.E.'!O273+[1]SAP!O273</f>
        <v>0</v>
      </c>
      <c r="P273" s="34">
        <f>[1]FPG!P273+'[1]C.E.'!P273+[1]SAP!P273</f>
        <v>0</v>
      </c>
      <c r="Q273" s="34">
        <f>[1]FPG!Q273+'[1]C.E.'!Q273+[1]SAP!Q273</f>
        <v>0</v>
      </c>
      <c r="R273" s="27"/>
      <c r="S273" s="35">
        <f t="shared" si="27"/>
        <v>0</v>
      </c>
      <c r="T273" s="36">
        <f t="shared" si="35"/>
        <v>0</v>
      </c>
      <c r="V273" s="21">
        <f>S273-[1]FPG!S273-'[1]C.E.'!S273</f>
        <v>0</v>
      </c>
      <c r="W273" s="22"/>
    </row>
    <row r="274" spans="1:23" x14ac:dyDescent="0.2">
      <c r="A274" s="9"/>
      <c r="B274" s="49" t="s">
        <v>250</v>
      </c>
      <c r="C274" s="49" t="s">
        <v>251</v>
      </c>
      <c r="D274" s="50"/>
      <c r="E274" s="51" t="s">
        <v>57</v>
      </c>
      <c r="F274" s="52">
        <f>SUM(F275:F277)</f>
        <v>1026.5961</v>
      </c>
      <c r="G274" s="52">
        <f>SUM(G275:G277)</f>
        <v>1026.5961</v>
      </c>
      <c r="H274" s="52">
        <f t="shared" ref="H274:Q274" si="36">SUM(H275:H277)</f>
        <v>1026.5961</v>
      </c>
      <c r="I274" s="52">
        <f t="shared" si="36"/>
        <v>1026.5961</v>
      </c>
      <c r="J274" s="52">
        <f t="shared" si="36"/>
        <v>1026.5961</v>
      </c>
      <c r="K274" s="52">
        <f t="shared" si="36"/>
        <v>1026.5961</v>
      </c>
      <c r="L274" s="52">
        <f t="shared" si="36"/>
        <v>1026.5961</v>
      </c>
      <c r="M274" s="52">
        <f t="shared" si="36"/>
        <v>1026.5961</v>
      </c>
      <c r="N274" s="52">
        <f t="shared" si="36"/>
        <v>1026.5961</v>
      </c>
      <c r="O274" s="52">
        <f t="shared" si="36"/>
        <v>1026.5961</v>
      </c>
      <c r="P274" s="52">
        <f t="shared" si="36"/>
        <v>1026.5961</v>
      </c>
      <c r="Q274" s="52">
        <f t="shared" si="36"/>
        <v>1026.5961</v>
      </c>
      <c r="R274" s="27"/>
      <c r="S274" s="28">
        <f t="shared" si="27"/>
        <v>12319.153200000002</v>
      </c>
      <c r="T274" s="29">
        <f>S274/$S$43</f>
        <v>1.0525472422767972E-3</v>
      </c>
      <c r="V274" s="21">
        <f>S274-[1]FPG!S274-'[1]C.E.'!S274</f>
        <v>0</v>
      </c>
      <c r="W274" s="22"/>
    </row>
    <row r="275" spans="1:23" outlineLevel="1" x14ac:dyDescent="0.2">
      <c r="A275" s="9"/>
      <c r="B275" s="48"/>
      <c r="C275" s="31">
        <v>400181</v>
      </c>
      <c r="D275" s="32" t="s">
        <v>252</v>
      </c>
      <c r="E275" s="33"/>
      <c r="F275" s="34">
        <f>[1]FPG!F275+'[1]C.E.'!F275+[1]SAP!F275</f>
        <v>1026.5961</v>
      </c>
      <c r="G275" s="34">
        <f>[1]FPG!G275+'[1]C.E.'!G275+[1]SAP!G275</f>
        <v>1026.5961</v>
      </c>
      <c r="H275" s="34">
        <f>[1]FPG!H275+'[1]C.E.'!H275+[1]SAP!H275</f>
        <v>1026.5961</v>
      </c>
      <c r="I275" s="34">
        <f>[1]FPG!I275+'[1]C.E.'!I275+[1]SAP!I275</f>
        <v>1026.5961</v>
      </c>
      <c r="J275" s="34">
        <f>[1]FPG!J275+'[1]C.E.'!J275+[1]SAP!J275</f>
        <v>1026.5961</v>
      </c>
      <c r="K275" s="34">
        <f>[1]FPG!K275+'[1]C.E.'!K275+[1]SAP!K275</f>
        <v>1026.5961</v>
      </c>
      <c r="L275" s="34">
        <f>[1]FPG!L275+'[1]C.E.'!L275+[1]SAP!L275</f>
        <v>1026.5961</v>
      </c>
      <c r="M275" s="34">
        <f>[1]FPG!M275+'[1]C.E.'!M275+[1]SAP!M275</f>
        <v>1026.5961</v>
      </c>
      <c r="N275" s="34">
        <f>[1]FPG!N275+'[1]C.E.'!N275+[1]SAP!N275</f>
        <v>1026.5961</v>
      </c>
      <c r="O275" s="34">
        <f>[1]FPG!O275+'[1]C.E.'!O275+[1]SAP!O275</f>
        <v>1026.5961</v>
      </c>
      <c r="P275" s="34">
        <f>[1]FPG!P275+'[1]C.E.'!P275+[1]SAP!P275</f>
        <v>1026.5961</v>
      </c>
      <c r="Q275" s="34">
        <f>[1]FPG!Q275+'[1]C.E.'!Q275+[1]SAP!Q275</f>
        <v>1026.5961</v>
      </c>
      <c r="R275" s="27"/>
      <c r="S275" s="35">
        <f t="shared" si="27"/>
        <v>12319.153200000002</v>
      </c>
      <c r="T275" s="36">
        <f t="shared" ref="T275:T277" si="37">S275/$S$43</f>
        <v>1.0525472422767972E-3</v>
      </c>
      <c r="V275" s="21">
        <f>S275-[1]FPG!S275-'[1]C.E.'!S275</f>
        <v>0</v>
      </c>
      <c r="W275" s="22"/>
    </row>
    <row r="276" spans="1:23" hidden="1" outlineLevel="1" x14ac:dyDescent="0.2">
      <c r="A276" s="9"/>
      <c r="B276" s="48"/>
      <c r="C276" s="31">
        <v>400182</v>
      </c>
      <c r="D276" s="32" t="s">
        <v>253</v>
      </c>
      <c r="E276" s="33"/>
      <c r="F276" s="34">
        <f>[1]FPG!F276+'[1]C.E.'!F276+[1]SAP!F276</f>
        <v>0</v>
      </c>
      <c r="G276" s="34">
        <f>[1]FPG!G276+'[1]C.E.'!G276+[1]SAP!G276</f>
        <v>0</v>
      </c>
      <c r="H276" s="34">
        <f>[1]FPG!H276+'[1]C.E.'!H276+[1]SAP!H276</f>
        <v>0</v>
      </c>
      <c r="I276" s="34">
        <f>[1]FPG!I276+'[1]C.E.'!I276+[1]SAP!I276</f>
        <v>0</v>
      </c>
      <c r="J276" s="34">
        <f>[1]FPG!J276+'[1]C.E.'!J276+[1]SAP!J276</f>
        <v>0</v>
      </c>
      <c r="K276" s="34">
        <f>[1]FPG!K276+'[1]C.E.'!K276+[1]SAP!K276</f>
        <v>0</v>
      </c>
      <c r="L276" s="34">
        <f>[1]FPG!L276+'[1]C.E.'!L276+[1]SAP!L276</f>
        <v>0</v>
      </c>
      <c r="M276" s="34">
        <f>[1]FPG!M276+'[1]C.E.'!M276+[1]SAP!M276</f>
        <v>0</v>
      </c>
      <c r="N276" s="34">
        <f>[1]FPG!N276+'[1]C.E.'!N276+[1]SAP!N276</f>
        <v>0</v>
      </c>
      <c r="O276" s="34">
        <f>[1]FPG!O276+'[1]C.E.'!O276+[1]SAP!O276</f>
        <v>0</v>
      </c>
      <c r="P276" s="34">
        <f>[1]FPG!P276+'[1]C.E.'!P276+[1]SAP!P276</f>
        <v>0</v>
      </c>
      <c r="Q276" s="34">
        <f>[1]FPG!Q276+'[1]C.E.'!Q276+[1]SAP!Q276</f>
        <v>0</v>
      </c>
      <c r="R276" s="27"/>
      <c r="S276" s="35">
        <f t="shared" si="27"/>
        <v>0</v>
      </c>
      <c r="T276" s="36">
        <f t="shared" si="37"/>
        <v>0</v>
      </c>
      <c r="V276" s="21">
        <f>S276-[1]FPG!S276-'[1]C.E.'!S276</f>
        <v>0</v>
      </c>
      <c r="W276" s="22"/>
    </row>
    <row r="277" spans="1:23" hidden="1" outlineLevel="1" x14ac:dyDescent="0.2">
      <c r="A277" s="9"/>
      <c r="B277" s="48"/>
      <c r="C277" s="31">
        <v>400304</v>
      </c>
      <c r="D277" s="32" t="s">
        <v>254</v>
      </c>
      <c r="E277" s="33"/>
      <c r="F277" s="34">
        <f>[1]FPG!F277+'[1]C.E.'!F277+[1]SAP!F277</f>
        <v>0</v>
      </c>
      <c r="G277" s="34">
        <f>[1]FPG!G277+'[1]C.E.'!G277+[1]SAP!G277</f>
        <v>0</v>
      </c>
      <c r="H277" s="34">
        <f>[1]FPG!H277+'[1]C.E.'!H277+[1]SAP!H277</f>
        <v>0</v>
      </c>
      <c r="I277" s="34">
        <f>[1]FPG!I277+'[1]C.E.'!I277+[1]SAP!I277</f>
        <v>0</v>
      </c>
      <c r="J277" s="34">
        <f>[1]FPG!J277+'[1]C.E.'!J277+[1]SAP!J277</f>
        <v>0</v>
      </c>
      <c r="K277" s="34">
        <f>[1]FPG!K277+'[1]C.E.'!K277+[1]SAP!K277</f>
        <v>0</v>
      </c>
      <c r="L277" s="34">
        <f>[1]FPG!L277+'[1]C.E.'!L277+[1]SAP!L277</f>
        <v>0</v>
      </c>
      <c r="M277" s="34">
        <f>[1]FPG!M277+'[1]C.E.'!M277+[1]SAP!M277</f>
        <v>0</v>
      </c>
      <c r="N277" s="34">
        <f>[1]FPG!N277+'[1]C.E.'!N277+[1]SAP!N277</f>
        <v>0</v>
      </c>
      <c r="O277" s="34">
        <f>[1]FPG!O277+'[1]C.E.'!O277+[1]SAP!O277</f>
        <v>0</v>
      </c>
      <c r="P277" s="34">
        <f>[1]FPG!P277+'[1]C.E.'!P277+[1]SAP!P277</f>
        <v>0</v>
      </c>
      <c r="Q277" s="34">
        <f>[1]FPG!Q277+'[1]C.E.'!Q277+[1]SAP!Q277</f>
        <v>0</v>
      </c>
      <c r="R277" s="27"/>
      <c r="S277" s="35">
        <f t="shared" si="27"/>
        <v>0</v>
      </c>
      <c r="T277" s="36">
        <f t="shared" si="37"/>
        <v>0</v>
      </c>
      <c r="V277" s="21">
        <f>S277-[1]FPG!S277-'[1]C.E.'!S277</f>
        <v>0</v>
      </c>
      <c r="W277" s="22"/>
    </row>
    <row r="278" spans="1:23" x14ac:dyDescent="0.2">
      <c r="A278" s="9"/>
      <c r="B278" s="49" t="s">
        <v>255</v>
      </c>
      <c r="C278" s="49" t="s">
        <v>256</v>
      </c>
      <c r="D278" s="50"/>
      <c r="E278" s="51" t="s">
        <v>57</v>
      </c>
      <c r="F278" s="52">
        <f>SUM(F279:F285)</f>
        <v>840</v>
      </c>
      <c r="G278" s="52">
        <f>SUM(G279:G285)</f>
        <v>840</v>
      </c>
      <c r="H278" s="52">
        <f t="shared" ref="H278:Q278" si="38">SUM(H279:H285)</f>
        <v>840</v>
      </c>
      <c r="I278" s="52">
        <f t="shared" si="38"/>
        <v>840</v>
      </c>
      <c r="J278" s="52">
        <f t="shared" si="38"/>
        <v>840</v>
      </c>
      <c r="K278" s="52">
        <f t="shared" si="38"/>
        <v>840</v>
      </c>
      <c r="L278" s="52">
        <f t="shared" si="38"/>
        <v>840</v>
      </c>
      <c r="M278" s="52">
        <f t="shared" si="38"/>
        <v>840</v>
      </c>
      <c r="N278" s="52">
        <f t="shared" si="38"/>
        <v>840</v>
      </c>
      <c r="O278" s="52">
        <f t="shared" si="38"/>
        <v>840</v>
      </c>
      <c r="P278" s="52">
        <f t="shared" si="38"/>
        <v>840</v>
      </c>
      <c r="Q278" s="52">
        <f t="shared" si="38"/>
        <v>840</v>
      </c>
      <c r="R278" s="27"/>
      <c r="S278" s="28">
        <f t="shared" si="27"/>
        <v>10080</v>
      </c>
      <c r="T278" s="29">
        <f>S278/$S$43</f>
        <v>8.6123421227930785E-4</v>
      </c>
      <c r="V278" s="21">
        <f>S278-[1]FPG!S278-'[1]C.E.'!S278</f>
        <v>2.5011104298755527E-12</v>
      </c>
      <c r="W278" s="22"/>
    </row>
    <row r="279" spans="1:23" hidden="1" outlineLevel="1" x14ac:dyDescent="0.2">
      <c r="A279" s="9"/>
      <c r="B279" s="48"/>
      <c r="C279" s="31">
        <v>400183</v>
      </c>
      <c r="D279" s="32" t="s">
        <v>257</v>
      </c>
      <c r="E279" s="33"/>
      <c r="F279" s="34">
        <f>[1]FPG!F279+'[1]C.E.'!F279+[1]SAP!F279</f>
        <v>0</v>
      </c>
      <c r="G279" s="34">
        <f>[1]FPG!G279+'[1]C.E.'!G279+[1]SAP!G279</f>
        <v>0</v>
      </c>
      <c r="H279" s="34">
        <f>[1]FPG!H279+'[1]C.E.'!H279+[1]SAP!H279</f>
        <v>0</v>
      </c>
      <c r="I279" s="34">
        <f>[1]FPG!I279+'[1]C.E.'!I279+[1]SAP!I279</f>
        <v>0</v>
      </c>
      <c r="J279" s="34">
        <f>[1]FPG!J279+'[1]C.E.'!J279+[1]SAP!J279</f>
        <v>0</v>
      </c>
      <c r="K279" s="34">
        <f>[1]FPG!K279+'[1]C.E.'!K279+[1]SAP!K279</f>
        <v>0</v>
      </c>
      <c r="L279" s="34">
        <f>[1]FPG!L279+'[1]C.E.'!L279+[1]SAP!L279</f>
        <v>0</v>
      </c>
      <c r="M279" s="34">
        <f>[1]FPG!M279+'[1]C.E.'!M279+[1]SAP!M279</f>
        <v>0</v>
      </c>
      <c r="N279" s="34">
        <f>[1]FPG!N279+'[1]C.E.'!N279+[1]SAP!N279</f>
        <v>0</v>
      </c>
      <c r="O279" s="34">
        <f>[1]FPG!O279+'[1]C.E.'!O279+[1]SAP!O279</f>
        <v>0</v>
      </c>
      <c r="P279" s="34">
        <f>[1]FPG!P279+'[1]C.E.'!P279+[1]SAP!P279</f>
        <v>0</v>
      </c>
      <c r="Q279" s="34">
        <f>[1]FPG!Q279+'[1]C.E.'!Q279+[1]SAP!Q279</f>
        <v>0</v>
      </c>
      <c r="R279" s="27"/>
      <c r="S279" s="35">
        <f t="shared" si="27"/>
        <v>0</v>
      </c>
      <c r="T279" s="36">
        <f t="shared" ref="T279:T285" si="39">S279/$S$43</f>
        <v>0</v>
      </c>
      <c r="V279" s="21">
        <f>S279-[1]FPG!S279-'[1]C.E.'!S279</f>
        <v>0</v>
      </c>
      <c r="W279" s="22"/>
    </row>
    <row r="280" spans="1:23" outlineLevel="1" x14ac:dyDescent="0.2">
      <c r="A280" s="9"/>
      <c r="B280" s="48"/>
      <c r="C280" s="31">
        <v>400184</v>
      </c>
      <c r="D280" s="32" t="s">
        <v>258</v>
      </c>
      <c r="E280" s="33"/>
      <c r="F280" s="34">
        <f>[1]FPG!F280+'[1]C.E.'!F280+[1]SAP!F280</f>
        <v>83.333333333333329</v>
      </c>
      <c r="G280" s="34">
        <f>[1]FPG!G280+'[1]C.E.'!G280+[1]SAP!G280</f>
        <v>83.333333333333329</v>
      </c>
      <c r="H280" s="34">
        <f>[1]FPG!H280+'[1]C.E.'!H280+[1]SAP!H280</f>
        <v>83.333333333333329</v>
      </c>
      <c r="I280" s="34">
        <f>[1]FPG!I280+'[1]C.E.'!I280+[1]SAP!I280</f>
        <v>83.333333333333329</v>
      </c>
      <c r="J280" s="34">
        <f>[1]FPG!J280+'[1]C.E.'!J280+[1]SAP!J280</f>
        <v>83.333333333333329</v>
      </c>
      <c r="K280" s="34">
        <f>[1]FPG!K280+'[1]C.E.'!K280+[1]SAP!K280</f>
        <v>83.333333333333329</v>
      </c>
      <c r="L280" s="34">
        <f>[1]FPG!L280+'[1]C.E.'!L280+[1]SAP!L280</f>
        <v>83.333333333333329</v>
      </c>
      <c r="M280" s="34">
        <f>[1]FPG!M280+'[1]C.E.'!M280+[1]SAP!M280</f>
        <v>83.333333333333329</v>
      </c>
      <c r="N280" s="34">
        <f>[1]FPG!N280+'[1]C.E.'!N280+[1]SAP!N280</f>
        <v>83.333333333333329</v>
      </c>
      <c r="O280" s="34">
        <f>[1]FPG!O280+'[1]C.E.'!O280+[1]SAP!O280</f>
        <v>83.333333333333329</v>
      </c>
      <c r="P280" s="34">
        <f>[1]FPG!P280+'[1]C.E.'!P280+[1]SAP!P280</f>
        <v>83.333333333333329</v>
      </c>
      <c r="Q280" s="34">
        <f>[1]FPG!Q280+'[1]C.E.'!Q280+[1]SAP!Q280</f>
        <v>83.333333333333329</v>
      </c>
      <c r="R280" s="27"/>
      <c r="S280" s="35">
        <f t="shared" si="27"/>
        <v>1000.0000000000001</v>
      </c>
      <c r="T280" s="36">
        <f t="shared" si="39"/>
        <v>8.5439902011836107E-5</v>
      </c>
      <c r="V280" s="21">
        <f>S280-[1]FPG!S280-'[1]C.E.'!S280</f>
        <v>0</v>
      </c>
      <c r="W280" s="22"/>
    </row>
    <row r="281" spans="1:23" outlineLevel="1" x14ac:dyDescent="0.2">
      <c r="A281" s="9"/>
      <c r="B281" s="48"/>
      <c r="C281" s="31">
        <v>400185</v>
      </c>
      <c r="D281" s="32" t="s">
        <v>259</v>
      </c>
      <c r="E281" s="33"/>
      <c r="F281" s="34">
        <f>[1]FPG!F281+'[1]C.E.'!F281+[1]SAP!F281</f>
        <v>216.66666666666666</v>
      </c>
      <c r="G281" s="34">
        <f>[1]FPG!G281+'[1]C.E.'!G281+[1]SAP!G281</f>
        <v>216.66666666666666</v>
      </c>
      <c r="H281" s="34">
        <f>[1]FPG!H281+'[1]C.E.'!H281+[1]SAP!H281</f>
        <v>216.66666666666666</v>
      </c>
      <c r="I281" s="34">
        <f>[1]FPG!I281+'[1]C.E.'!I281+[1]SAP!I281</f>
        <v>216.66666666666666</v>
      </c>
      <c r="J281" s="34">
        <f>[1]FPG!J281+'[1]C.E.'!J281+[1]SAP!J281</f>
        <v>216.66666666666666</v>
      </c>
      <c r="K281" s="34">
        <f>[1]FPG!K281+'[1]C.E.'!K281+[1]SAP!K281</f>
        <v>216.66666666666666</v>
      </c>
      <c r="L281" s="34">
        <f>[1]FPG!L281+'[1]C.E.'!L281+[1]SAP!L281</f>
        <v>216.66666666666666</v>
      </c>
      <c r="M281" s="34">
        <f>[1]FPG!M281+'[1]C.E.'!M281+[1]SAP!M281</f>
        <v>216.66666666666666</v>
      </c>
      <c r="N281" s="34">
        <f>[1]FPG!N281+'[1]C.E.'!N281+[1]SAP!N281</f>
        <v>216.66666666666666</v>
      </c>
      <c r="O281" s="34">
        <f>[1]FPG!O281+'[1]C.E.'!O281+[1]SAP!O281</f>
        <v>216.66666666666666</v>
      </c>
      <c r="P281" s="34">
        <f>[1]FPG!P281+'[1]C.E.'!P281+[1]SAP!P281</f>
        <v>216.66666666666666</v>
      </c>
      <c r="Q281" s="34">
        <f>[1]FPG!Q281+'[1]C.E.'!Q281+[1]SAP!Q281</f>
        <v>216.66666666666666</v>
      </c>
      <c r="R281" s="27"/>
      <c r="S281" s="35">
        <f t="shared" si="27"/>
        <v>2600</v>
      </c>
      <c r="T281" s="36">
        <f t="shared" si="39"/>
        <v>2.2214374523077385E-4</v>
      </c>
      <c r="V281" s="21">
        <f>S281-[1]FPG!S281-'[1]C.E.'!S281</f>
        <v>0</v>
      </c>
      <c r="W281" s="22"/>
    </row>
    <row r="282" spans="1:23" outlineLevel="1" x14ac:dyDescent="0.2">
      <c r="A282" s="9"/>
      <c r="B282" s="48"/>
      <c r="C282" s="31">
        <v>400186</v>
      </c>
      <c r="D282" s="32" t="s">
        <v>260</v>
      </c>
      <c r="E282" s="33"/>
      <c r="F282" s="34">
        <f>[1]FPG!F282+'[1]C.E.'!F282+[1]SAP!F282</f>
        <v>40</v>
      </c>
      <c r="G282" s="34">
        <f>[1]FPG!G282+'[1]C.E.'!G282+[1]SAP!G282</f>
        <v>40</v>
      </c>
      <c r="H282" s="34">
        <f>[1]FPG!H282+'[1]C.E.'!H282+[1]SAP!H282</f>
        <v>40</v>
      </c>
      <c r="I282" s="34">
        <f>[1]FPG!I282+'[1]C.E.'!I282+[1]SAP!I282</f>
        <v>40</v>
      </c>
      <c r="J282" s="34">
        <f>[1]FPG!J282+'[1]C.E.'!J282+[1]SAP!J282</f>
        <v>40</v>
      </c>
      <c r="K282" s="34">
        <f>[1]FPG!K282+'[1]C.E.'!K282+[1]SAP!K282</f>
        <v>40</v>
      </c>
      <c r="L282" s="34">
        <f>[1]FPG!L282+'[1]C.E.'!L282+[1]SAP!L282</f>
        <v>40</v>
      </c>
      <c r="M282" s="34">
        <f>[1]FPG!M282+'[1]C.E.'!M282+[1]SAP!M282</f>
        <v>40</v>
      </c>
      <c r="N282" s="34">
        <f>[1]FPG!N282+'[1]C.E.'!N282+[1]SAP!N282</f>
        <v>40</v>
      </c>
      <c r="O282" s="34">
        <f>[1]FPG!O282+'[1]C.E.'!O282+[1]SAP!O282</f>
        <v>40</v>
      </c>
      <c r="P282" s="34">
        <f>[1]FPG!P282+'[1]C.E.'!P282+[1]SAP!P282</f>
        <v>40</v>
      </c>
      <c r="Q282" s="34">
        <f>[1]FPG!Q282+'[1]C.E.'!Q282+[1]SAP!Q282</f>
        <v>40</v>
      </c>
      <c r="R282" s="27"/>
      <c r="S282" s="35">
        <f t="shared" si="27"/>
        <v>480</v>
      </c>
      <c r="T282" s="36">
        <f t="shared" si="39"/>
        <v>4.1011152965681325E-5</v>
      </c>
      <c r="V282" s="21">
        <f>S282-[1]FPG!S282-'[1]C.E.'!S282</f>
        <v>0</v>
      </c>
      <c r="W282" s="22"/>
    </row>
    <row r="283" spans="1:23" hidden="1" outlineLevel="1" x14ac:dyDescent="0.2">
      <c r="A283" s="9"/>
      <c r="B283" s="48"/>
      <c r="C283" s="31">
        <v>400187</v>
      </c>
      <c r="D283" s="32" t="s">
        <v>261</v>
      </c>
      <c r="E283" s="33"/>
      <c r="F283" s="34">
        <f>[1]FPG!F283+'[1]C.E.'!F283+[1]SAP!F283</f>
        <v>0</v>
      </c>
      <c r="G283" s="34">
        <f>[1]FPG!G283+'[1]C.E.'!G283+[1]SAP!G283</f>
        <v>0</v>
      </c>
      <c r="H283" s="34">
        <f>[1]FPG!H283+'[1]C.E.'!H283+[1]SAP!H283</f>
        <v>0</v>
      </c>
      <c r="I283" s="34">
        <f>[1]FPG!I283+'[1]C.E.'!I283+[1]SAP!I283</f>
        <v>0</v>
      </c>
      <c r="J283" s="34">
        <f>[1]FPG!J283+'[1]C.E.'!J283+[1]SAP!J283</f>
        <v>0</v>
      </c>
      <c r="K283" s="34">
        <f>[1]FPG!K283+'[1]C.E.'!K283+[1]SAP!K283</f>
        <v>0</v>
      </c>
      <c r="L283" s="34">
        <f>[1]FPG!L283+'[1]C.E.'!L283+[1]SAP!L283</f>
        <v>0</v>
      </c>
      <c r="M283" s="34">
        <f>[1]FPG!M283+'[1]C.E.'!M283+[1]SAP!M283</f>
        <v>0</v>
      </c>
      <c r="N283" s="34">
        <f>[1]FPG!N283+'[1]C.E.'!N283+[1]SAP!N283</f>
        <v>0</v>
      </c>
      <c r="O283" s="34">
        <f>[1]FPG!O283+'[1]C.E.'!O283+[1]SAP!O283</f>
        <v>0</v>
      </c>
      <c r="P283" s="34">
        <f>[1]FPG!P283+'[1]C.E.'!P283+[1]SAP!P283</f>
        <v>0</v>
      </c>
      <c r="Q283" s="34">
        <f>[1]FPG!Q283+'[1]C.E.'!Q283+[1]SAP!Q283</f>
        <v>0</v>
      </c>
      <c r="R283" s="27"/>
      <c r="S283" s="35">
        <f t="shared" si="27"/>
        <v>0</v>
      </c>
      <c r="T283" s="36">
        <f t="shared" si="39"/>
        <v>0</v>
      </c>
      <c r="V283" s="21">
        <f>S283-[1]FPG!S283-'[1]C.E.'!S283</f>
        <v>0</v>
      </c>
      <c r="W283" s="22"/>
    </row>
    <row r="284" spans="1:23" hidden="1" outlineLevel="1" x14ac:dyDescent="0.2">
      <c r="A284" s="9"/>
      <c r="B284" s="48"/>
      <c r="C284" s="31">
        <v>400188</v>
      </c>
      <c r="D284" s="32" t="s">
        <v>262</v>
      </c>
      <c r="E284" s="33"/>
      <c r="F284" s="34">
        <f>[1]FPG!F284+'[1]C.E.'!F284+[1]SAP!F284</f>
        <v>0</v>
      </c>
      <c r="G284" s="34">
        <f>[1]FPG!G284+'[1]C.E.'!G284+[1]SAP!G284</f>
        <v>0</v>
      </c>
      <c r="H284" s="34">
        <f>[1]FPG!H284+'[1]C.E.'!H284+[1]SAP!H284</f>
        <v>0</v>
      </c>
      <c r="I284" s="34">
        <f>[1]FPG!I284+'[1]C.E.'!I284+[1]SAP!I284</f>
        <v>0</v>
      </c>
      <c r="J284" s="34">
        <f>[1]FPG!J284+'[1]C.E.'!J284+[1]SAP!J284</f>
        <v>0</v>
      </c>
      <c r="K284" s="34">
        <f>[1]FPG!K284+'[1]C.E.'!K284+[1]SAP!K284</f>
        <v>0</v>
      </c>
      <c r="L284" s="34">
        <f>[1]FPG!L284+'[1]C.E.'!L284+[1]SAP!L284</f>
        <v>0</v>
      </c>
      <c r="M284" s="34">
        <f>[1]FPG!M284+'[1]C.E.'!M284+[1]SAP!M284</f>
        <v>0</v>
      </c>
      <c r="N284" s="34">
        <f>[1]FPG!N284+'[1]C.E.'!N284+[1]SAP!N284</f>
        <v>0</v>
      </c>
      <c r="O284" s="34">
        <f>[1]FPG!O284+'[1]C.E.'!O284+[1]SAP!O284</f>
        <v>0</v>
      </c>
      <c r="P284" s="34">
        <f>[1]FPG!P284+'[1]C.E.'!P284+[1]SAP!P284</f>
        <v>0</v>
      </c>
      <c r="Q284" s="34">
        <f>[1]FPG!Q284+'[1]C.E.'!Q284+[1]SAP!Q284</f>
        <v>0</v>
      </c>
      <c r="R284" s="27"/>
      <c r="S284" s="35">
        <f t="shared" si="27"/>
        <v>0</v>
      </c>
      <c r="T284" s="36">
        <f t="shared" si="39"/>
        <v>0</v>
      </c>
      <c r="V284" s="21">
        <f>S284-[1]FPG!S284-'[1]C.E.'!S284</f>
        <v>0</v>
      </c>
      <c r="W284" s="22"/>
    </row>
    <row r="285" spans="1:23" outlineLevel="1" x14ac:dyDescent="0.2">
      <c r="A285" s="9"/>
      <c r="B285" s="48"/>
      <c r="C285" s="31">
        <v>400189</v>
      </c>
      <c r="D285" s="32" t="s">
        <v>263</v>
      </c>
      <c r="E285" s="33"/>
      <c r="F285" s="34">
        <f>[1]FPG!F285+'[1]C.E.'!F285+[1]SAP!F285</f>
        <v>500</v>
      </c>
      <c r="G285" s="34">
        <f>[1]FPG!G285+'[1]C.E.'!G285+[1]SAP!G285</f>
        <v>500</v>
      </c>
      <c r="H285" s="34">
        <f>[1]FPG!H285+'[1]C.E.'!H285+[1]SAP!H285</f>
        <v>500</v>
      </c>
      <c r="I285" s="34">
        <f>[1]FPG!I285+'[1]C.E.'!I285+[1]SAP!I285</f>
        <v>500</v>
      </c>
      <c r="J285" s="34">
        <f>[1]FPG!J285+'[1]C.E.'!J285+[1]SAP!J285</f>
        <v>500</v>
      </c>
      <c r="K285" s="34">
        <f>[1]FPG!K285+'[1]C.E.'!K285+[1]SAP!K285</f>
        <v>500</v>
      </c>
      <c r="L285" s="34">
        <f>[1]FPG!L285+'[1]C.E.'!L285+[1]SAP!L285</f>
        <v>500</v>
      </c>
      <c r="M285" s="34">
        <f>[1]FPG!M285+'[1]C.E.'!M285+[1]SAP!M285</f>
        <v>500</v>
      </c>
      <c r="N285" s="34">
        <f>[1]FPG!N285+'[1]C.E.'!N285+[1]SAP!N285</f>
        <v>500</v>
      </c>
      <c r="O285" s="34">
        <f>[1]FPG!O285+'[1]C.E.'!O285+[1]SAP!O285</f>
        <v>500</v>
      </c>
      <c r="P285" s="34">
        <f>[1]FPG!P285+'[1]C.E.'!P285+[1]SAP!P285</f>
        <v>500</v>
      </c>
      <c r="Q285" s="34">
        <f>[1]FPG!Q285+'[1]C.E.'!Q285+[1]SAP!Q285</f>
        <v>500</v>
      </c>
      <c r="R285" s="27"/>
      <c r="S285" s="35">
        <f t="shared" si="27"/>
        <v>6000</v>
      </c>
      <c r="T285" s="36">
        <f t="shared" si="39"/>
        <v>5.1263941207101659E-4</v>
      </c>
      <c r="V285" s="21">
        <f>S285-[1]FPG!S285-'[1]C.E.'!S285</f>
        <v>0</v>
      </c>
      <c r="W285" s="22"/>
    </row>
    <row r="286" spans="1:23" x14ac:dyDescent="0.2">
      <c r="A286" s="9"/>
      <c r="B286" s="49" t="s">
        <v>264</v>
      </c>
      <c r="C286" s="49" t="s">
        <v>265</v>
      </c>
      <c r="D286" s="50"/>
      <c r="E286" s="51" t="s">
        <v>57</v>
      </c>
      <c r="F286" s="52">
        <f>SUM(F287:F296)</f>
        <v>14687.171616666667</v>
      </c>
      <c r="G286" s="52">
        <f>SUM(G287:G296)</f>
        <v>14687.171616666667</v>
      </c>
      <c r="H286" s="52">
        <f t="shared" ref="H286:Q286" si="40">SUM(H287:H296)</f>
        <v>14687.171616666667</v>
      </c>
      <c r="I286" s="52">
        <f t="shared" si="40"/>
        <v>14687.171616666667</v>
      </c>
      <c r="J286" s="52">
        <f t="shared" si="40"/>
        <v>14687.171616666667</v>
      </c>
      <c r="K286" s="52">
        <f t="shared" si="40"/>
        <v>14687.171616666667</v>
      </c>
      <c r="L286" s="52">
        <f t="shared" si="40"/>
        <v>15853.838283333334</v>
      </c>
      <c r="M286" s="52">
        <f t="shared" si="40"/>
        <v>15853.838283333334</v>
      </c>
      <c r="N286" s="52">
        <f t="shared" si="40"/>
        <v>15853.838283333334</v>
      </c>
      <c r="O286" s="52">
        <f t="shared" si="40"/>
        <v>15853.838283333334</v>
      </c>
      <c r="P286" s="52">
        <f t="shared" si="40"/>
        <v>15853.838283333334</v>
      </c>
      <c r="Q286" s="52">
        <f t="shared" si="40"/>
        <v>15853.838283333334</v>
      </c>
      <c r="R286" s="27"/>
      <c r="S286" s="28">
        <f t="shared" si="27"/>
        <v>183246.05940000003</v>
      </c>
      <c r="T286" s="29">
        <f>S286/$S$43</f>
        <v>1.5656525359191098E-2</v>
      </c>
      <c r="V286" s="21">
        <f>S286-[1]FPG!S286-'[1]C.E.'!S286</f>
        <v>0</v>
      </c>
      <c r="W286" s="22"/>
    </row>
    <row r="287" spans="1:23" outlineLevel="1" x14ac:dyDescent="0.2">
      <c r="A287" s="9"/>
      <c r="B287" s="48"/>
      <c r="C287" s="31">
        <v>400190</v>
      </c>
      <c r="D287" s="32" t="s">
        <v>266</v>
      </c>
      <c r="E287" s="33"/>
      <c r="F287" s="34">
        <f>[1]FPG!F287+'[1]C.E.'!F287+[1]SAP!F287</f>
        <v>3015.8887500000001</v>
      </c>
      <c r="G287" s="34">
        <f>[1]FPG!G287+'[1]C.E.'!G287+[1]SAP!G287</f>
        <v>3015.8887500000001</v>
      </c>
      <c r="H287" s="34">
        <f>[1]FPG!H287+'[1]C.E.'!H287+[1]SAP!H287</f>
        <v>3015.8887500000001</v>
      </c>
      <c r="I287" s="34">
        <f>[1]FPG!I287+'[1]C.E.'!I287+[1]SAP!I287</f>
        <v>3015.8887500000001</v>
      </c>
      <c r="J287" s="34">
        <f>[1]FPG!J287+'[1]C.E.'!J287+[1]SAP!J287</f>
        <v>3015.8887500000001</v>
      </c>
      <c r="K287" s="34">
        <f>[1]FPG!K287+'[1]C.E.'!K287+[1]SAP!K287</f>
        <v>3015.8887500000001</v>
      </c>
      <c r="L287" s="34">
        <f>[1]FPG!L287+'[1]C.E.'!L287+[1]SAP!L287</f>
        <v>3015.8887500000001</v>
      </c>
      <c r="M287" s="34">
        <f>[1]FPG!M287+'[1]C.E.'!M287+[1]SAP!M287</f>
        <v>3015.8887500000001</v>
      </c>
      <c r="N287" s="34">
        <f>[1]FPG!N287+'[1]C.E.'!N287+[1]SAP!N287</f>
        <v>3015.8887500000001</v>
      </c>
      <c r="O287" s="34">
        <f>[1]FPG!O287+'[1]C.E.'!O287+[1]SAP!O287</f>
        <v>3015.8887500000001</v>
      </c>
      <c r="P287" s="34">
        <f>[1]FPG!P287+'[1]C.E.'!P287+[1]SAP!P287</f>
        <v>3015.8887500000001</v>
      </c>
      <c r="Q287" s="34">
        <f>[1]FPG!Q287+'[1]C.E.'!Q287+[1]SAP!Q287</f>
        <v>3015.8887500000001</v>
      </c>
      <c r="R287" s="27"/>
      <c r="S287" s="35">
        <f t="shared" si="27"/>
        <v>36190.664999999994</v>
      </c>
      <c r="T287" s="36">
        <f t="shared" ref="T287:T296" si="41">S287/$S$43</f>
        <v>3.0921268713431857E-3</v>
      </c>
      <c r="V287" s="21">
        <f>S287-[1]FPG!S287-'[1]C.E.'!S287</f>
        <v>0</v>
      </c>
      <c r="W287" s="22"/>
    </row>
    <row r="288" spans="1:23" outlineLevel="1" x14ac:dyDescent="0.2">
      <c r="A288" s="9"/>
      <c r="B288" s="48"/>
      <c r="C288" s="31">
        <v>400191</v>
      </c>
      <c r="D288" s="32" t="s">
        <v>267</v>
      </c>
      <c r="E288" s="33"/>
      <c r="F288" s="34">
        <f>[1]FPG!F288+'[1]C.E.'!F288+[1]SAP!F288</f>
        <v>333.33333333333331</v>
      </c>
      <c r="G288" s="34">
        <f>[1]FPG!G288+'[1]C.E.'!G288+[1]SAP!G288</f>
        <v>333.33333333333331</v>
      </c>
      <c r="H288" s="34">
        <f>[1]FPG!H288+'[1]C.E.'!H288+[1]SAP!H288</f>
        <v>333.33333333333331</v>
      </c>
      <c r="I288" s="34">
        <f>[1]FPG!I288+'[1]C.E.'!I288+[1]SAP!I288</f>
        <v>333.33333333333331</v>
      </c>
      <c r="J288" s="34">
        <f>[1]FPG!J288+'[1]C.E.'!J288+[1]SAP!J288</f>
        <v>333.33333333333331</v>
      </c>
      <c r="K288" s="34">
        <f>[1]FPG!K288+'[1]C.E.'!K288+[1]SAP!K288</f>
        <v>333.33333333333331</v>
      </c>
      <c r="L288" s="34">
        <f>[1]FPG!L288+'[1]C.E.'!L288+[1]SAP!L288</f>
        <v>333.33333333333331</v>
      </c>
      <c r="M288" s="34">
        <f>[1]FPG!M288+'[1]C.E.'!M288+[1]SAP!M288</f>
        <v>333.33333333333331</v>
      </c>
      <c r="N288" s="34">
        <f>[1]FPG!N288+'[1]C.E.'!N288+[1]SAP!N288</f>
        <v>333.33333333333331</v>
      </c>
      <c r="O288" s="34">
        <f>[1]FPG!O288+'[1]C.E.'!O288+[1]SAP!O288</f>
        <v>333.33333333333331</v>
      </c>
      <c r="P288" s="34">
        <f>[1]FPG!P288+'[1]C.E.'!P288+[1]SAP!P288</f>
        <v>333.33333333333331</v>
      </c>
      <c r="Q288" s="34">
        <f>[1]FPG!Q288+'[1]C.E.'!Q288+[1]SAP!Q288</f>
        <v>333.33333333333331</v>
      </c>
      <c r="R288" s="27"/>
      <c r="S288" s="35">
        <f t="shared" si="27"/>
        <v>4000.0000000000005</v>
      </c>
      <c r="T288" s="36">
        <f t="shared" si="41"/>
        <v>3.4175960804734443E-4</v>
      </c>
      <c r="V288" s="21">
        <f>S288-[1]FPG!S288-'[1]C.E.'!S288</f>
        <v>0</v>
      </c>
      <c r="W288" s="22"/>
    </row>
    <row r="289" spans="1:23" outlineLevel="1" x14ac:dyDescent="0.2">
      <c r="A289" s="9"/>
      <c r="B289" s="48"/>
      <c r="C289" s="31">
        <v>400192</v>
      </c>
      <c r="D289" s="32" t="s">
        <v>268</v>
      </c>
      <c r="E289" s="33"/>
      <c r="F289" s="34">
        <f>[1]FPG!F289+'[1]C.E.'!F289+[1]SAP!F289</f>
        <v>0</v>
      </c>
      <c r="G289" s="34">
        <f>[1]FPG!G289+'[1]C.E.'!G289+[1]SAP!G289</f>
        <v>0</v>
      </c>
      <c r="H289" s="34">
        <f>[1]FPG!H289+'[1]C.E.'!H289+[1]SAP!H289</f>
        <v>0</v>
      </c>
      <c r="I289" s="34">
        <f>[1]FPG!I289+'[1]C.E.'!I289+[1]SAP!I289</f>
        <v>0</v>
      </c>
      <c r="J289" s="34">
        <f>[1]FPG!J289+'[1]C.E.'!J289+[1]SAP!J289</f>
        <v>0</v>
      </c>
      <c r="K289" s="34">
        <f>[1]FPG!K289+'[1]C.E.'!K289+[1]SAP!K289</f>
        <v>0</v>
      </c>
      <c r="L289" s="34">
        <f>[1]FPG!L289+'[1]C.E.'!L289+[1]SAP!L289</f>
        <v>1166.6666666666667</v>
      </c>
      <c r="M289" s="34">
        <f>[1]FPG!M289+'[1]C.E.'!M289+[1]SAP!M289</f>
        <v>1166.6666666666667</v>
      </c>
      <c r="N289" s="34">
        <f>[1]FPG!N289+'[1]C.E.'!N289+[1]SAP!N289</f>
        <v>1166.6666666666667</v>
      </c>
      <c r="O289" s="34">
        <f>[1]FPG!O289+'[1]C.E.'!O289+[1]SAP!O289</f>
        <v>1166.6666666666667</v>
      </c>
      <c r="P289" s="34">
        <f>[1]FPG!P289+'[1]C.E.'!P289+[1]SAP!P289</f>
        <v>1166.6666666666667</v>
      </c>
      <c r="Q289" s="34">
        <f>[1]FPG!Q289+'[1]C.E.'!Q289+[1]SAP!Q289</f>
        <v>1166.6666666666667</v>
      </c>
      <c r="R289" s="27"/>
      <c r="S289" s="35">
        <f t="shared" si="27"/>
        <v>7000.0000000000009</v>
      </c>
      <c r="T289" s="36">
        <f t="shared" si="41"/>
        <v>5.9807931408285277E-4</v>
      </c>
      <c r="V289" s="21">
        <f>S289-[1]FPG!S289-'[1]C.E.'!S289</f>
        <v>0</v>
      </c>
      <c r="W289" s="22"/>
    </row>
    <row r="290" spans="1:23" outlineLevel="1" x14ac:dyDescent="0.2">
      <c r="A290" s="9"/>
      <c r="B290" s="48"/>
      <c r="C290" s="31">
        <v>400193</v>
      </c>
      <c r="D290" s="32" t="s">
        <v>269</v>
      </c>
      <c r="E290" s="33"/>
      <c r="F290" s="34">
        <f>[1]FPG!F290+'[1]C.E.'!F290+[1]SAP!F290</f>
        <v>1166.6666666666667</v>
      </c>
      <c r="G290" s="34">
        <f>[1]FPG!G290+'[1]C.E.'!G290+[1]SAP!G290</f>
        <v>1166.6666666666667</v>
      </c>
      <c r="H290" s="34">
        <f>[1]FPG!H290+'[1]C.E.'!H290+[1]SAP!H290</f>
        <v>1166.6666666666667</v>
      </c>
      <c r="I290" s="34">
        <f>[1]FPG!I290+'[1]C.E.'!I290+[1]SAP!I290</f>
        <v>1166.6666666666667</v>
      </c>
      <c r="J290" s="34">
        <f>[1]FPG!J290+'[1]C.E.'!J290+[1]SAP!J290</f>
        <v>1166.6666666666667</v>
      </c>
      <c r="K290" s="34">
        <f>[1]FPG!K290+'[1]C.E.'!K290+[1]SAP!K290</f>
        <v>1166.6666666666667</v>
      </c>
      <c r="L290" s="34">
        <f>[1]FPG!L290+'[1]C.E.'!L290+[1]SAP!L290</f>
        <v>1166.6666666666667</v>
      </c>
      <c r="M290" s="34">
        <f>[1]FPG!M290+'[1]C.E.'!M290+[1]SAP!M290</f>
        <v>1166.6666666666667</v>
      </c>
      <c r="N290" s="34">
        <f>[1]FPG!N290+'[1]C.E.'!N290+[1]SAP!N290</f>
        <v>1166.6666666666667</v>
      </c>
      <c r="O290" s="34">
        <f>[1]FPG!O290+'[1]C.E.'!O290+[1]SAP!O290</f>
        <v>1166.6666666666667</v>
      </c>
      <c r="P290" s="34">
        <f>[1]FPG!P290+'[1]C.E.'!P290+[1]SAP!P290</f>
        <v>1166.6666666666667</v>
      </c>
      <c r="Q290" s="34">
        <f>[1]FPG!Q290+'[1]C.E.'!Q290+[1]SAP!Q290</f>
        <v>1166.6666666666667</v>
      </c>
      <c r="R290" s="27"/>
      <c r="S290" s="35">
        <f t="shared" si="27"/>
        <v>13999.999999999998</v>
      </c>
      <c r="T290" s="36">
        <f t="shared" si="41"/>
        <v>1.1961586281657051E-3</v>
      </c>
      <c r="V290" s="21">
        <f>S290-[1]FPG!S290-'[1]C.E.'!S290</f>
        <v>0</v>
      </c>
      <c r="W290" s="22"/>
    </row>
    <row r="291" spans="1:23" outlineLevel="1" x14ac:dyDescent="0.2">
      <c r="A291" s="9"/>
      <c r="B291" s="48"/>
      <c r="C291" s="31">
        <v>400194</v>
      </c>
      <c r="D291" s="32" t="s">
        <v>270</v>
      </c>
      <c r="E291" s="33"/>
      <c r="F291" s="34">
        <f>[1]FPG!F291+'[1]C.E.'!F291+[1]SAP!F291</f>
        <v>2916.666666666667</v>
      </c>
      <c r="G291" s="34">
        <f>[1]FPG!G291+'[1]C.E.'!G291+[1]SAP!G291</f>
        <v>2916.666666666667</v>
      </c>
      <c r="H291" s="34">
        <f>[1]FPG!H291+'[1]C.E.'!H291+[1]SAP!H291</f>
        <v>2916.666666666667</v>
      </c>
      <c r="I291" s="34">
        <f>[1]FPG!I291+'[1]C.E.'!I291+[1]SAP!I291</f>
        <v>2916.666666666667</v>
      </c>
      <c r="J291" s="34">
        <f>[1]FPG!J291+'[1]C.E.'!J291+[1]SAP!J291</f>
        <v>2916.666666666667</v>
      </c>
      <c r="K291" s="34">
        <f>[1]FPG!K291+'[1]C.E.'!K291+[1]SAP!K291</f>
        <v>2916.666666666667</v>
      </c>
      <c r="L291" s="34">
        <f>[1]FPG!L291+'[1]C.E.'!L291+[1]SAP!L291</f>
        <v>2916.666666666667</v>
      </c>
      <c r="M291" s="34">
        <f>[1]FPG!M291+'[1]C.E.'!M291+[1]SAP!M291</f>
        <v>2916.666666666667</v>
      </c>
      <c r="N291" s="34">
        <f>[1]FPG!N291+'[1]C.E.'!N291+[1]SAP!N291</f>
        <v>2916.666666666667</v>
      </c>
      <c r="O291" s="34">
        <f>[1]FPG!O291+'[1]C.E.'!O291+[1]SAP!O291</f>
        <v>2916.666666666667</v>
      </c>
      <c r="P291" s="34">
        <f>[1]FPG!P291+'[1]C.E.'!P291+[1]SAP!P291</f>
        <v>2916.666666666667</v>
      </c>
      <c r="Q291" s="34">
        <f>[1]FPG!Q291+'[1]C.E.'!Q291+[1]SAP!Q291</f>
        <v>2916.666666666667</v>
      </c>
      <c r="R291" s="27"/>
      <c r="S291" s="35">
        <f t="shared" si="27"/>
        <v>35000.000000000007</v>
      </c>
      <c r="T291" s="36">
        <f t="shared" si="41"/>
        <v>2.9903965704142638E-3</v>
      </c>
      <c r="V291" s="21">
        <f>S291-[1]FPG!S291-'[1]C.E.'!S291</f>
        <v>0</v>
      </c>
      <c r="W291" s="22"/>
    </row>
    <row r="292" spans="1:23" outlineLevel="1" x14ac:dyDescent="0.2">
      <c r="A292" s="9"/>
      <c r="B292" s="48"/>
      <c r="C292" s="31">
        <v>400195</v>
      </c>
      <c r="D292" s="32" t="s">
        <v>271</v>
      </c>
      <c r="E292" s="33"/>
      <c r="F292" s="34">
        <f>[1]FPG!F292+'[1]C.E.'!F292+[1]SAP!F292</f>
        <v>5171</v>
      </c>
      <c r="G292" s="34">
        <f>[1]FPG!G292+'[1]C.E.'!G292+[1]SAP!G292</f>
        <v>5171</v>
      </c>
      <c r="H292" s="34">
        <f>[1]FPG!H292+'[1]C.E.'!H292+[1]SAP!H292</f>
        <v>5171</v>
      </c>
      <c r="I292" s="34">
        <f>[1]FPG!I292+'[1]C.E.'!I292+[1]SAP!I292</f>
        <v>5171</v>
      </c>
      <c r="J292" s="34">
        <f>[1]FPG!J292+'[1]C.E.'!J292+[1]SAP!J292</f>
        <v>5171</v>
      </c>
      <c r="K292" s="34">
        <f>[1]FPG!K292+'[1]C.E.'!K292+[1]SAP!K292</f>
        <v>5171</v>
      </c>
      <c r="L292" s="34">
        <f>[1]FPG!L292+'[1]C.E.'!L292+[1]SAP!L292</f>
        <v>5171</v>
      </c>
      <c r="M292" s="34">
        <f>[1]FPG!M292+'[1]C.E.'!M292+[1]SAP!M292</f>
        <v>5171</v>
      </c>
      <c r="N292" s="34">
        <f>[1]FPG!N292+'[1]C.E.'!N292+[1]SAP!N292</f>
        <v>5171</v>
      </c>
      <c r="O292" s="34">
        <f>[1]FPG!O292+'[1]C.E.'!O292+[1]SAP!O292</f>
        <v>5171</v>
      </c>
      <c r="P292" s="34">
        <f>[1]FPG!P292+'[1]C.E.'!P292+[1]SAP!P292</f>
        <v>5171</v>
      </c>
      <c r="Q292" s="34">
        <f>[1]FPG!Q292+'[1]C.E.'!Q292+[1]SAP!Q292</f>
        <v>5171</v>
      </c>
      <c r="R292" s="27"/>
      <c r="S292" s="35">
        <f t="shared" si="27"/>
        <v>62052</v>
      </c>
      <c r="T292" s="36">
        <f t="shared" si="41"/>
        <v>5.3017167996384533E-3</v>
      </c>
      <c r="V292" s="21">
        <f>S292-[1]FPG!S292-'[1]C.E.'!S292</f>
        <v>0</v>
      </c>
      <c r="W292" s="22"/>
    </row>
    <row r="293" spans="1:23" hidden="1" outlineLevel="1" x14ac:dyDescent="0.2">
      <c r="A293" s="9"/>
      <c r="B293" s="48"/>
      <c r="C293" s="31">
        <v>400196</v>
      </c>
      <c r="D293" s="32" t="s">
        <v>272</v>
      </c>
      <c r="E293" s="33"/>
      <c r="F293" s="34">
        <f>[1]FPG!F293+'[1]C.E.'!F293+[1]SAP!F293</f>
        <v>0</v>
      </c>
      <c r="G293" s="34">
        <f>[1]FPG!G293+'[1]C.E.'!G293+[1]SAP!G293</f>
        <v>0</v>
      </c>
      <c r="H293" s="34">
        <f>[1]FPG!H293+'[1]C.E.'!H293+[1]SAP!H293</f>
        <v>0</v>
      </c>
      <c r="I293" s="34">
        <f>[1]FPG!I293+'[1]C.E.'!I293+[1]SAP!I293</f>
        <v>0</v>
      </c>
      <c r="J293" s="34">
        <f>[1]FPG!J293+'[1]C.E.'!J293+[1]SAP!J293</f>
        <v>0</v>
      </c>
      <c r="K293" s="34">
        <f>[1]FPG!K293+'[1]C.E.'!K293+[1]SAP!K293</f>
        <v>0</v>
      </c>
      <c r="L293" s="34">
        <f>[1]FPG!L293+'[1]C.E.'!L293+[1]SAP!L293</f>
        <v>0</v>
      </c>
      <c r="M293" s="34">
        <f>[1]FPG!M293+'[1]C.E.'!M293+[1]SAP!M293</f>
        <v>0</v>
      </c>
      <c r="N293" s="34">
        <f>[1]FPG!N293+'[1]C.E.'!N293+[1]SAP!N293</f>
        <v>0</v>
      </c>
      <c r="O293" s="34">
        <f>[1]FPG!O293+'[1]C.E.'!O293+[1]SAP!O293</f>
        <v>0</v>
      </c>
      <c r="P293" s="34">
        <f>[1]FPG!P293+'[1]C.E.'!P293+[1]SAP!P293</f>
        <v>0</v>
      </c>
      <c r="Q293" s="34">
        <f>[1]FPG!Q293+'[1]C.E.'!Q293+[1]SAP!Q293</f>
        <v>0</v>
      </c>
      <c r="R293" s="27"/>
      <c r="S293" s="35">
        <f t="shared" si="27"/>
        <v>0</v>
      </c>
      <c r="T293" s="36">
        <f t="shared" si="41"/>
        <v>0</v>
      </c>
      <c r="V293" s="21">
        <f>S293-[1]FPG!S293-'[1]C.E.'!S293</f>
        <v>0</v>
      </c>
      <c r="W293" s="22"/>
    </row>
    <row r="294" spans="1:23" hidden="1" outlineLevel="1" x14ac:dyDescent="0.2">
      <c r="A294" s="9"/>
      <c r="B294" s="48"/>
      <c r="C294" s="31">
        <v>400197</v>
      </c>
      <c r="D294" s="32" t="s">
        <v>273</v>
      </c>
      <c r="E294" s="33"/>
      <c r="F294" s="34">
        <f>[1]FPG!F294+'[1]C.E.'!F294+[1]SAP!F294</f>
        <v>0</v>
      </c>
      <c r="G294" s="34">
        <f>[1]FPG!G294+'[1]C.E.'!G294+[1]SAP!G294</f>
        <v>0</v>
      </c>
      <c r="H294" s="34">
        <f>[1]FPG!H294+'[1]C.E.'!H294+[1]SAP!H294</f>
        <v>0</v>
      </c>
      <c r="I294" s="34">
        <f>[1]FPG!I294+'[1]C.E.'!I294+[1]SAP!I294</f>
        <v>0</v>
      </c>
      <c r="J294" s="34">
        <f>[1]FPG!J294+'[1]C.E.'!J294+[1]SAP!J294</f>
        <v>0</v>
      </c>
      <c r="K294" s="34">
        <f>[1]FPG!K294+'[1]C.E.'!K294+[1]SAP!K294</f>
        <v>0</v>
      </c>
      <c r="L294" s="34">
        <f>[1]FPG!L294+'[1]C.E.'!L294+[1]SAP!L294</f>
        <v>0</v>
      </c>
      <c r="M294" s="34">
        <f>[1]FPG!M294+'[1]C.E.'!M294+[1]SAP!M294</f>
        <v>0</v>
      </c>
      <c r="N294" s="34">
        <f>[1]FPG!N294+'[1]C.E.'!N294+[1]SAP!N294</f>
        <v>0</v>
      </c>
      <c r="O294" s="34">
        <f>[1]FPG!O294+'[1]C.E.'!O294+[1]SAP!O294</f>
        <v>0</v>
      </c>
      <c r="P294" s="34">
        <f>[1]FPG!P294+'[1]C.E.'!P294+[1]SAP!P294</f>
        <v>0</v>
      </c>
      <c r="Q294" s="34">
        <f>[1]FPG!Q294+'[1]C.E.'!Q294+[1]SAP!Q294</f>
        <v>0</v>
      </c>
      <c r="R294" s="27"/>
      <c r="S294" s="35">
        <f t="shared" si="27"/>
        <v>0</v>
      </c>
      <c r="T294" s="36">
        <f t="shared" si="41"/>
        <v>0</v>
      </c>
      <c r="V294" s="21">
        <f>S294-[1]FPG!S294-'[1]C.E.'!S294</f>
        <v>0</v>
      </c>
      <c r="W294" s="22"/>
    </row>
    <row r="295" spans="1:23" outlineLevel="1" x14ac:dyDescent="0.2">
      <c r="A295" s="9"/>
      <c r="B295" s="48"/>
      <c r="C295" s="31">
        <v>400198</v>
      </c>
      <c r="D295" s="32" t="s">
        <v>274</v>
      </c>
      <c r="E295" s="33"/>
      <c r="F295" s="34">
        <f>[1]FPG!F295+'[1]C.E.'!F295+[1]SAP!F295</f>
        <v>2083.6162000000004</v>
      </c>
      <c r="G295" s="34">
        <f>[1]FPG!G295+'[1]C.E.'!G295+[1]SAP!G295</f>
        <v>2083.6162000000004</v>
      </c>
      <c r="H295" s="34">
        <f>[1]FPG!H295+'[1]C.E.'!H295+[1]SAP!H295</f>
        <v>2083.6162000000004</v>
      </c>
      <c r="I295" s="34">
        <f>[1]FPG!I295+'[1]C.E.'!I295+[1]SAP!I295</f>
        <v>2083.6162000000004</v>
      </c>
      <c r="J295" s="34">
        <f>[1]FPG!J295+'[1]C.E.'!J295+[1]SAP!J295</f>
        <v>2083.6162000000004</v>
      </c>
      <c r="K295" s="34">
        <f>[1]FPG!K295+'[1]C.E.'!K295+[1]SAP!K295</f>
        <v>2083.6162000000004</v>
      </c>
      <c r="L295" s="34">
        <f>[1]FPG!L295+'[1]C.E.'!L295+[1]SAP!L295</f>
        <v>2083.6162000000004</v>
      </c>
      <c r="M295" s="34">
        <f>[1]FPG!M295+'[1]C.E.'!M295+[1]SAP!M295</f>
        <v>2083.6162000000004</v>
      </c>
      <c r="N295" s="34">
        <f>[1]FPG!N295+'[1]C.E.'!N295+[1]SAP!N295</f>
        <v>2083.6162000000004</v>
      </c>
      <c r="O295" s="34">
        <f>[1]FPG!O295+'[1]C.E.'!O295+[1]SAP!O295</f>
        <v>2083.6162000000004</v>
      </c>
      <c r="P295" s="34">
        <f>[1]FPG!P295+'[1]C.E.'!P295+[1]SAP!P295</f>
        <v>2083.6162000000004</v>
      </c>
      <c r="Q295" s="34">
        <f>[1]FPG!Q295+'[1]C.E.'!Q295+[1]SAP!Q295</f>
        <v>2083.6162000000004</v>
      </c>
      <c r="R295" s="27"/>
      <c r="S295" s="35">
        <f t="shared" si="27"/>
        <v>25003.394400000005</v>
      </c>
      <c r="T295" s="36">
        <f t="shared" si="41"/>
        <v>2.1362875674992917E-3</v>
      </c>
      <c r="V295" s="21">
        <f>S295-[1]FPG!S295-'[1]C.E.'!S295</f>
        <v>0</v>
      </c>
      <c r="W295" s="22"/>
    </row>
    <row r="296" spans="1:23" hidden="1" outlineLevel="1" x14ac:dyDescent="0.2">
      <c r="A296" s="9"/>
      <c r="B296" s="48"/>
      <c r="C296" s="31">
        <v>400310</v>
      </c>
      <c r="D296" s="32" t="s">
        <v>248</v>
      </c>
      <c r="E296" s="33"/>
      <c r="F296" s="34">
        <f>[1]FPG!F296+'[1]C.E.'!F296+[1]SAP!F296</f>
        <v>0</v>
      </c>
      <c r="G296" s="34">
        <f>[1]FPG!G296+'[1]C.E.'!G296+[1]SAP!G296</f>
        <v>0</v>
      </c>
      <c r="H296" s="34">
        <f>[1]FPG!H296+'[1]C.E.'!H296+[1]SAP!H296</f>
        <v>0</v>
      </c>
      <c r="I296" s="34">
        <f>[1]FPG!I296+'[1]C.E.'!I296+[1]SAP!I296</f>
        <v>0</v>
      </c>
      <c r="J296" s="34">
        <f>[1]FPG!J296+'[1]C.E.'!J296+[1]SAP!J296</f>
        <v>0</v>
      </c>
      <c r="K296" s="34">
        <f>[1]FPG!K296+'[1]C.E.'!K296+[1]SAP!K296</f>
        <v>0</v>
      </c>
      <c r="L296" s="34">
        <f>[1]FPG!L296+'[1]C.E.'!L296+[1]SAP!L296</f>
        <v>0</v>
      </c>
      <c r="M296" s="34">
        <f>[1]FPG!M296+'[1]C.E.'!M296+[1]SAP!M296</f>
        <v>0</v>
      </c>
      <c r="N296" s="34">
        <f>[1]FPG!N296+'[1]C.E.'!N296+[1]SAP!N296</f>
        <v>0</v>
      </c>
      <c r="O296" s="34">
        <f>[1]FPG!O296+'[1]C.E.'!O296+[1]SAP!O296</f>
        <v>0</v>
      </c>
      <c r="P296" s="34">
        <f>[1]FPG!P296+'[1]C.E.'!P296+[1]SAP!P296</f>
        <v>0</v>
      </c>
      <c r="Q296" s="34">
        <f>[1]FPG!Q296+'[1]C.E.'!Q296+[1]SAP!Q296</f>
        <v>0</v>
      </c>
      <c r="R296" s="27"/>
      <c r="S296" s="35">
        <f t="shared" si="27"/>
        <v>0</v>
      </c>
      <c r="T296" s="36">
        <f t="shared" si="41"/>
        <v>0</v>
      </c>
      <c r="V296" s="21">
        <f>S296-[1]FPG!S296-'[1]C.E.'!S296</f>
        <v>0</v>
      </c>
      <c r="W296" s="22"/>
    </row>
    <row r="297" spans="1:23" hidden="1" x14ac:dyDescent="0.2">
      <c r="A297" s="9"/>
      <c r="B297" s="49" t="s">
        <v>275</v>
      </c>
      <c r="C297" s="49" t="s">
        <v>276</v>
      </c>
      <c r="D297" s="50"/>
      <c r="E297" s="51" t="s">
        <v>57</v>
      </c>
      <c r="F297" s="52">
        <f>F298</f>
        <v>0</v>
      </c>
      <c r="G297" s="52">
        <f>G298</f>
        <v>0</v>
      </c>
      <c r="H297" s="52">
        <f t="shared" ref="H297:Q297" si="42">H298</f>
        <v>0</v>
      </c>
      <c r="I297" s="52">
        <f t="shared" si="42"/>
        <v>0</v>
      </c>
      <c r="J297" s="52">
        <f t="shared" si="42"/>
        <v>0</v>
      </c>
      <c r="K297" s="52">
        <f t="shared" si="42"/>
        <v>0</v>
      </c>
      <c r="L297" s="52">
        <f t="shared" si="42"/>
        <v>0</v>
      </c>
      <c r="M297" s="52">
        <f t="shared" si="42"/>
        <v>0</v>
      </c>
      <c r="N297" s="52">
        <f t="shared" si="42"/>
        <v>0</v>
      </c>
      <c r="O297" s="52">
        <f t="shared" si="42"/>
        <v>0</v>
      </c>
      <c r="P297" s="52">
        <f t="shared" si="42"/>
        <v>0</v>
      </c>
      <c r="Q297" s="52">
        <f t="shared" si="42"/>
        <v>0</v>
      </c>
      <c r="R297" s="27"/>
      <c r="S297" s="28">
        <f t="shared" si="27"/>
        <v>0</v>
      </c>
      <c r="T297" s="29">
        <f>S297/$S$43</f>
        <v>0</v>
      </c>
      <c r="V297" s="21">
        <f>S297-[1]FPG!S297-'[1]C.E.'!S297</f>
        <v>0</v>
      </c>
      <c r="W297" s="22"/>
    </row>
    <row r="298" spans="1:23" hidden="1" outlineLevel="1" x14ac:dyDescent="0.2">
      <c r="A298" s="9"/>
      <c r="B298" s="48"/>
      <c r="C298" s="31">
        <v>400199</v>
      </c>
      <c r="D298" s="32" t="s">
        <v>277</v>
      </c>
      <c r="E298" s="33"/>
      <c r="F298" s="34">
        <f>[1]FPG!F298+'[1]C.E.'!F298+[1]SAP!F298</f>
        <v>0</v>
      </c>
      <c r="G298" s="34">
        <f>[1]FPG!G298+'[1]C.E.'!G298+[1]SAP!G298</f>
        <v>0</v>
      </c>
      <c r="H298" s="34">
        <f>[1]FPG!H298+'[1]C.E.'!H298+[1]SAP!H298</f>
        <v>0</v>
      </c>
      <c r="I298" s="34">
        <f>[1]FPG!I298+'[1]C.E.'!I298+[1]SAP!I298</f>
        <v>0</v>
      </c>
      <c r="J298" s="34">
        <f>[1]FPG!J298+'[1]C.E.'!J298+[1]SAP!J298</f>
        <v>0</v>
      </c>
      <c r="K298" s="34">
        <f>[1]FPG!K298+'[1]C.E.'!K298+[1]SAP!K298</f>
        <v>0</v>
      </c>
      <c r="L298" s="34">
        <f>[1]FPG!L298+'[1]C.E.'!L298+[1]SAP!L298</f>
        <v>0</v>
      </c>
      <c r="M298" s="34">
        <f>[1]FPG!M298+'[1]C.E.'!M298+[1]SAP!M298</f>
        <v>0</v>
      </c>
      <c r="N298" s="34">
        <f>[1]FPG!N298+'[1]C.E.'!N298+[1]SAP!N298</f>
        <v>0</v>
      </c>
      <c r="O298" s="34">
        <f>[1]FPG!O298+'[1]C.E.'!O298+[1]SAP!O298</f>
        <v>0</v>
      </c>
      <c r="P298" s="34">
        <f>[1]FPG!P298+'[1]C.E.'!P298+[1]SAP!P298</f>
        <v>0</v>
      </c>
      <c r="Q298" s="34">
        <f>[1]FPG!Q298+'[1]C.E.'!Q298+[1]SAP!Q298</f>
        <v>0</v>
      </c>
      <c r="R298" s="27"/>
      <c r="S298" s="35">
        <f t="shared" si="27"/>
        <v>0</v>
      </c>
      <c r="T298" s="36">
        <f t="shared" ref="T298" si="43">S298/$S$43</f>
        <v>0</v>
      </c>
      <c r="V298" s="21">
        <f>S298-[1]FPG!S298-'[1]C.E.'!S298</f>
        <v>0</v>
      </c>
      <c r="W298" s="22"/>
    </row>
    <row r="299" spans="1:23" collapsed="1" x14ac:dyDescent="0.2">
      <c r="A299" s="9"/>
      <c r="B299" s="49" t="s">
        <v>278</v>
      </c>
      <c r="C299" s="49" t="s">
        <v>279</v>
      </c>
      <c r="D299" s="50"/>
      <c r="E299" s="51" t="s">
        <v>57</v>
      </c>
      <c r="F299" s="52">
        <f>SUM(F300:F313)</f>
        <v>250</v>
      </c>
      <c r="G299" s="52">
        <f>SUM(G300:G313)</f>
        <v>450</v>
      </c>
      <c r="H299" s="52">
        <f t="shared" ref="H299:Q299" si="44">SUM(H300:H313)</f>
        <v>250</v>
      </c>
      <c r="I299" s="52">
        <f t="shared" si="44"/>
        <v>250</v>
      </c>
      <c r="J299" s="52">
        <f t="shared" si="44"/>
        <v>250</v>
      </c>
      <c r="K299" s="52">
        <f t="shared" si="44"/>
        <v>1995.7</v>
      </c>
      <c r="L299" s="52">
        <f t="shared" si="44"/>
        <v>4844.7</v>
      </c>
      <c r="M299" s="52">
        <f t="shared" si="44"/>
        <v>250</v>
      </c>
      <c r="N299" s="52">
        <f t="shared" si="44"/>
        <v>250</v>
      </c>
      <c r="O299" s="52">
        <f t="shared" si="44"/>
        <v>250</v>
      </c>
      <c r="P299" s="52">
        <f t="shared" si="44"/>
        <v>250</v>
      </c>
      <c r="Q299" s="52">
        <f t="shared" si="44"/>
        <v>250</v>
      </c>
      <c r="R299" s="27"/>
      <c r="S299" s="28">
        <f t="shared" ref="S299:S356" si="45">SUM(F299:R299)</f>
        <v>9540.4</v>
      </c>
      <c r="T299" s="29">
        <f>S299/$S$43</f>
        <v>8.1513084115372107E-4</v>
      </c>
      <c r="V299" s="21">
        <f>S299-[1]FPG!S299-'[1]C.E.'!S299</f>
        <v>0</v>
      </c>
      <c r="W299" s="22"/>
    </row>
    <row r="300" spans="1:23" outlineLevel="1" x14ac:dyDescent="0.2">
      <c r="A300" s="9"/>
      <c r="B300" s="48"/>
      <c r="C300" s="31">
        <v>400200</v>
      </c>
      <c r="D300" s="32" t="s">
        <v>280</v>
      </c>
      <c r="E300" s="33"/>
      <c r="F300" s="34">
        <f>[1]FPG!F300+'[1]C.E.'!F300+[1]SAP!F300</f>
        <v>0</v>
      </c>
      <c r="G300" s="34">
        <f>[1]FPG!G300+'[1]C.E.'!G300+[1]SAP!G300</f>
        <v>200</v>
      </c>
      <c r="H300" s="34">
        <f>[1]FPG!H300+'[1]C.E.'!H300+[1]SAP!H300</f>
        <v>0</v>
      </c>
      <c r="I300" s="34">
        <f>[1]FPG!I300+'[1]C.E.'!I300+[1]SAP!I300</f>
        <v>0</v>
      </c>
      <c r="J300" s="34">
        <f>[1]FPG!J300+'[1]C.E.'!J300+[1]SAP!J300</f>
        <v>0</v>
      </c>
      <c r="K300" s="34">
        <f>[1]FPG!K300+'[1]C.E.'!K300+[1]SAP!K300</f>
        <v>0</v>
      </c>
      <c r="L300" s="34">
        <f>[1]FPG!L300+'[1]C.E.'!L300+[1]SAP!L300</f>
        <v>0</v>
      </c>
      <c r="M300" s="34">
        <f>[1]FPG!M300+'[1]C.E.'!M300+[1]SAP!M300</f>
        <v>0</v>
      </c>
      <c r="N300" s="34">
        <f>[1]FPG!N300+'[1]C.E.'!N300+[1]SAP!N300</f>
        <v>0</v>
      </c>
      <c r="O300" s="34">
        <f>[1]FPG!O300+'[1]C.E.'!O300+[1]SAP!O300</f>
        <v>0</v>
      </c>
      <c r="P300" s="34">
        <f>[1]FPG!P300+'[1]C.E.'!P300+[1]SAP!P300</f>
        <v>0</v>
      </c>
      <c r="Q300" s="34">
        <f>[1]FPG!Q300+'[1]C.E.'!Q300+[1]SAP!Q300</f>
        <v>0</v>
      </c>
      <c r="R300" s="27"/>
      <c r="S300" s="35">
        <f t="shared" si="45"/>
        <v>200</v>
      </c>
      <c r="T300" s="36">
        <f t="shared" ref="T300:T313" si="46">S300/$S$43</f>
        <v>1.7087980402367218E-5</v>
      </c>
      <c r="V300" s="21">
        <f>S300-[1]FPG!S300-'[1]C.E.'!S300</f>
        <v>0</v>
      </c>
      <c r="W300" s="22"/>
    </row>
    <row r="301" spans="1:23" hidden="1" outlineLevel="1" x14ac:dyDescent="0.2">
      <c r="A301" s="9"/>
      <c r="B301" s="48"/>
      <c r="C301" s="31">
        <v>400201</v>
      </c>
      <c r="D301" s="32" t="s">
        <v>281</v>
      </c>
      <c r="E301" s="33"/>
      <c r="F301" s="34">
        <f>[1]FPG!F301+'[1]C.E.'!F301+[1]SAP!F301</f>
        <v>0</v>
      </c>
      <c r="G301" s="34">
        <f>[1]FPG!G301+'[1]C.E.'!G301+[1]SAP!G301</f>
        <v>0</v>
      </c>
      <c r="H301" s="34">
        <f>[1]FPG!H301+'[1]C.E.'!H301+[1]SAP!H301</f>
        <v>0</v>
      </c>
      <c r="I301" s="34">
        <f>[1]FPG!I301+'[1]C.E.'!I301+[1]SAP!I301</f>
        <v>0</v>
      </c>
      <c r="J301" s="34">
        <f>[1]FPG!J301+'[1]C.E.'!J301+[1]SAP!J301</f>
        <v>0</v>
      </c>
      <c r="K301" s="34">
        <f>[1]FPG!K301+'[1]C.E.'!K301+[1]SAP!K301</f>
        <v>0</v>
      </c>
      <c r="L301" s="34">
        <f>[1]FPG!L301+'[1]C.E.'!L301+[1]SAP!L301</f>
        <v>0</v>
      </c>
      <c r="M301" s="34">
        <f>[1]FPG!M301+'[1]C.E.'!M301+[1]SAP!M301</f>
        <v>0</v>
      </c>
      <c r="N301" s="34">
        <f>[1]FPG!N301+'[1]C.E.'!N301+[1]SAP!N301</f>
        <v>0</v>
      </c>
      <c r="O301" s="34">
        <f>[1]FPG!O301+'[1]C.E.'!O301+[1]SAP!O301</f>
        <v>0</v>
      </c>
      <c r="P301" s="34">
        <f>[1]FPG!P301+'[1]C.E.'!P301+[1]SAP!P301</f>
        <v>0</v>
      </c>
      <c r="Q301" s="34">
        <f>[1]FPG!Q301+'[1]C.E.'!Q301+[1]SAP!Q301</f>
        <v>0</v>
      </c>
      <c r="R301" s="27"/>
      <c r="S301" s="35">
        <f t="shared" si="45"/>
        <v>0</v>
      </c>
      <c r="T301" s="36">
        <f t="shared" si="46"/>
        <v>0</v>
      </c>
      <c r="V301" s="21">
        <f>S301-[1]FPG!S301-'[1]C.E.'!S301</f>
        <v>0</v>
      </c>
      <c r="W301" s="22"/>
    </row>
    <row r="302" spans="1:23" outlineLevel="1" x14ac:dyDescent="0.2">
      <c r="A302" s="9"/>
      <c r="B302" s="48"/>
      <c r="C302" s="31">
        <v>400202</v>
      </c>
      <c r="D302" s="32" t="s">
        <v>282</v>
      </c>
      <c r="E302" s="33"/>
      <c r="F302" s="34">
        <f>[1]FPG!F302+'[1]C.E.'!F302+[1]SAP!F302</f>
        <v>250</v>
      </c>
      <c r="G302" s="34">
        <f>[1]FPG!G302+'[1]C.E.'!G302+[1]SAP!G302</f>
        <v>250</v>
      </c>
      <c r="H302" s="34">
        <f>[1]FPG!H302+'[1]C.E.'!H302+[1]SAP!H302</f>
        <v>250</v>
      </c>
      <c r="I302" s="34">
        <f>[1]FPG!I302+'[1]C.E.'!I302+[1]SAP!I302</f>
        <v>250</v>
      </c>
      <c r="J302" s="34">
        <f>[1]FPG!J302+'[1]C.E.'!J302+[1]SAP!J302</f>
        <v>250</v>
      </c>
      <c r="K302" s="34">
        <f>[1]FPG!K302+'[1]C.E.'!K302+[1]SAP!K302</f>
        <v>250</v>
      </c>
      <c r="L302" s="34">
        <f>[1]FPG!L302+'[1]C.E.'!L302+[1]SAP!L302</f>
        <v>250</v>
      </c>
      <c r="M302" s="34">
        <f>[1]FPG!M302+'[1]C.E.'!M302+[1]SAP!M302</f>
        <v>250</v>
      </c>
      <c r="N302" s="34">
        <f>[1]FPG!N302+'[1]C.E.'!N302+[1]SAP!N302</f>
        <v>250</v>
      </c>
      <c r="O302" s="34">
        <f>[1]FPG!O302+'[1]C.E.'!O302+[1]SAP!O302</f>
        <v>250</v>
      </c>
      <c r="P302" s="34">
        <f>[1]FPG!P302+'[1]C.E.'!P302+[1]SAP!P302</f>
        <v>250</v>
      </c>
      <c r="Q302" s="34">
        <f>[1]FPG!Q302+'[1]C.E.'!Q302+[1]SAP!Q302</f>
        <v>250</v>
      </c>
      <c r="R302" s="27"/>
      <c r="S302" s="35">
        <f t="shared" si="45"/>
        <v>3000</v>
      </c>
      <c r="T302" s="36">
        <f t="shared" si="46"/>
        <v>2.5631970603550829E-4</v>
      </c>
      <c r="V302" s="21">
        <f>S302-[1]FPG!S302-'[1]C.E.'!S302</f>
        <v>0</v>
      </c>
      <c r="W302" s="22"/>
    </row>
    <row r="303" spans="1:23" hidden="1" outlineLevel="1" x14ac:dyDescent="0.2">
      <c r="A303" s="9"/>
      <c r="B303" s="48"/>
      <c r="C303" s="31">
        <v>400203</v>
      </c>
      <c r="D303" s="32" t="s">
        <v>283</v>
      </c>
      <c r="E303" s="33"/>
      <c r="F303" s="34">
        <f>[1]FPG!F303+'[1]C.E.'!F303+[1]SAP!F303</f>
        <v>0</v>
      </c>
      <c r="G303" s="34">
        <f>[1]FPG!G303+'[1]C.E.'!G303+[1]SAP!G303</f>
        <v>0</v>
      </c>
      <c r="H303" s="34">
        <f>[1]FPG!H303+'[1]C.E.'!H303+[1]SAP!H303</f>
        <v>0</v>
      </c>
      <c r="I303" s="34">
        <f>[1]FPG!I303+'[1]C.E.'!I303+[1]SAP!I303</f>
        <v>0</v>
      </c>
      <c r="J303" s="34">
        <f>[1]FPG!J303+'[1]C.E.'!J303+[1]SAP!J303</f>
        <v>0</v>
      </c>
      <c r="K303" s="34">
        <f>[1]FPG!K303+'[1]C.E.'!K303+[1]SAP!K303</f>
        <v>0</v>
      </c>
      <c r="L303" s="34">
        <f>[1]FPG!L303+'[1]C.E.'!L303+[1]SAP!L303</f>
        <v>0</v>
      </c>
      <c r="M303" s="34">
        <f>[1]FPG!M303+'[1]C.E.'!M303+[1]SAP!M303</f>
        <v>0</v>
      </c>
      <c r="N303" s="34">
        <f>[1]FPG!N303+'[1]C.E.'!N303+[1]SAP!N303</f>
        <v>0</v>
      </c>
      <c r="O303" s="34">
        <f>[1]FPG!O303+'[1]C.E.'!O303+[1]SAP!O303</f>
        <v>0</v>
      </c>
      <c r="P303" s="34">
        <f>[1]FPG!P303+'[1]C.E.'!P303+[1]SAP!P303</f>
        <v>0</v>
      </c>
      <c r="Q303" s="34">
        <f>[1]FPG!Q303+'[1]C.E.'!Q303+[1]SAP!Q303</f>
        <v>0</v>
      </c>
      <c r="R303" s="27"/>
      <c r="S303" s="35">
        <f t="shared" si="45"/>
        <v>0</v>
      </c>
      <c r="T303" s="36">
        <f t="shared" si="46"/>
        <v>0</v>
      </c>
      <c r="V303" s="21">
        <f>S303-[1]FPG!S303-'[1]C.E.'!S303</f>
        <v>0</v>
      </c>
      <c r="W303" s="22"/>
    </row>
    <row r="304" spans="1:23" hidden="1" outlineLevel="1" x14ac:dyDescent="0.2">
      <c r="A304" s="9"/>
      <c r="B304" s="48"/>
      <c r="C304" s="31">
        <v>400204</v>
      </c>
      <c r="D304" s="32" t="s">
        <v>284</v>
      </c>
      <c r="E304" s="33"/>
      <c r="F304" s="34">
        <f>[1]FPG!F304+'[1]C.E.'!F304+[1]SAP!F304</f>
        <v>0</v>
      </c>
      <c r="G304" s="34">
        <f>[1]FPG!G304+'[1]C.E.'!G304+[1]SAP!G304</f>
        <v>0</v>
      </c>
      <c r="H304" s="34">
        <f>[1]FPG!H304+'[1]C.E.'!H304+[1]SAP!H304</f>
        <v>0</v>
      </c>
      <c r="I304" s="34">
        <f>[1]FPG!I304+'[1]C.E.'!I304+[1]SAP!I304</f>
        <v>0</v>
      </c>
      <c r="J304" s="34">
        <f>[1]FPG!J304+'[1]C.E.'!J304+[1]SAP!J304</f>
        <v>0</v>
      </c>
      <c r="K304" s="34">
        <f>[1]FPG!K304+'[1]C.E.'!K304+[1]SAP!K304</f>
        <v>0</v>
      </c>
      <c r="L304" s="34">
        <f>[1]FPG!L304+'[1]C.E.'!L304+[1]SAP!L304</f>
        <v>0</v>
      </c>
      <c r="M304" s="34">
        <f>[1]FPG!M304+'[1]C.E.'!M304+[1]SAP!M304</f>
        <v>0</v>
      </c>
      <c r="N304" s="34">
        <f>[1]FPG!N304+'[1]C.E.'!N304+[1]SAP!N304</f>
        <v>0</v>
      </c>
      <c r="O304" s="34">
        <f>[1]FPG!O304+'[1]C.E.'!O304+[1]SAP!O304</f>
        <v>0</v>
      </c>
      <c r="P304" s="34">
        <f>[1]FPG!P304+'[1]C.E.'!P304+[1]SAP!P304</f>
        <v>0</v>
      </c>
      <c r="Q304" s="34">
        <f>[1]FPG!Q304+'[1]C.E.'!Q304+[1]SAP!Q304</f>
        <v>0</v>
      </c>
      <c r="R304" s="27"/>
      <c r="S304" s="35">
        <f t="shared" si="45"/>
        <v>0</v>
      </c>
      <c r="T304" s="36">
        <f t="shared" si="46"/>
        <v>0</v>
      </c>
      <c r="V304" s="21">
        <f>S304-[1]FPG!S304-'[1]C.E.'!S304</f>
        <v>0</v>
      </c>
      <c r="W304" s="22"/>
    </row>
    <row r="305" spans="1:23" hidden="1" outlineLevel="1" x14ac:dyDescent="0.2">
      <c r="A305" s="9"/>
      <c r="B305" s="48"/>
      <c r="C305" s="31">
        <v>400205</v>
      </c>
      <c r="D305" s="32" t="s">
        <v>285</v>
      </c>
      <c r="E305" s="33"/>
      <c r="F305" s="34">
        <f>[1]FPG!F305+'[1]C.E.'!F305+[1]SAP!F305</f>
        <v>0</v>
      </c>
      <c r="G305" s="34">
        <f>[1]FPG!G305+'[1]C.E.'!G305+[1]SAP!G305</f>
        <v>0</v>
      </c>
      <c r="H305" s="34">
        <f>[1]FPG!H305+'[1]C.E.'!H305+[1]SAP!H305</f>
        <v>0</v>
      </c>
      <c r="I305" s="34">
        <f>[1]FPG!I305+'[1]C.E.'!I305+[1]SAP!I305</f>
        <v>0</v>
      </c>
      <c r="J305" s="34">
        <f>[1]FPG!J305+'[1]C.E.'!J305+[1]SAP!J305</f>
        <v>0</v>
      </c>
      <c r="K305" s="34">
        <f>[1]FPG!K305+'[1]C.E.'!K305+[1]SAP!K305</f>
        <v>0</v>
      </c>
      <c r="L305" s="34">
        <f>[1]FPG!L305+'[1]C.E.'!L305+[1]SAP!L305</f>
        <v>0</v>
      </c>
      <c r="M305" s="34">
        <f>[1]FPG!M305+'[1]C.E.'!M305+[1]SAP!M305</f>
        <v>0</v>
      </c>
      <c r="N305" s="34">
        <f>[1]FPG!N305+'[1]C.E.'!N305+[1]SAP!N305</f>
        <v>0</v>
      </c>
      <c r="O305" s="34">
        <f>[1]FPG!O305+'[1]C.E.'!O305+[1]SAP!O305</f>
        <v>0</v>
      </c>
      <c r="P305" s="34">
        <f>[1]FPG!P305+'[1]C.E.'!P305+[1]SAP!P305</f>
        <v>0</v>
      </c>
      <c r="Q305" s="34">
        <f>[1]FPG!Q305+'[1]C.E.'!Q305+[1]SAP!Q305</f>
        <v>0</v>
      </c>
      <c r="R305" s="27"/>
      <c r="S305" s="35">
        <f t="shared" si="45"/>
        <v>0</v>
      </c>
      <c r="T305" s="36">
        <f t="shared" si="46"/>
        <v>0</v>
      </c>
      <c r="V305" s="21">
        <f>S305-[1]FPG!S305-'[1]C.E.'!S305</f>
        <v>0</v>
      </c>
      <c r="W305" s="22"/>
    </row>
    <row r="306" spans="1:23" hidden="1" outlineLevel="1" x14ac:dyDescent="0.2">
      <c r="A306" s="9"/>
      <c r="B306" s="48"/>
      <c r="C306" s="31">
        <v>400206</v>
      </c>
      <c r="D306" s="32" t="s">
        <v>286</v>
      </c>
      <c r="E306" s="33"/>
      <c r="F306" s="34">
        <f>[1]FPG!F306+'[1]C.E.'!F306+[1]SAP!F306</f>
        <v>0</v>
      </c>
      <c r="G306" s="34">
        <f>[1]FPG!G306+'[1]C.E.'!G306+[1]SAP!G306</f>
        <v>0</v>
      </c>
      <c r="H306" s="34">
        <f>[1]FPG!H306+'[1]C.E.'!H306+[1]SAP!H306</f>
        <v>0</v>
      </c>
      <c r="I306" s="34">
        <f>[1]FPG!I306+'[1]C.E.'!I306+[1]SAP!I306</f>
        <v>0</v>
      </c>
      <c r="J306" s="34">
        <f>[1]FPG!J306+'[1]C.E.'!J306+[1]SAP!J306</f>
        <v>0</v>
      </c>
      <c r="K306" s="34">
        <f>[1]FPG!K306+'[1]C.E.'!K306+[1]SAP!K306</f>
        <v>0</v>
      </c>
      <c r="L306" s="34">
        <f>[1]FPG!L306+'[1]C.E.'!L306+[1]SAP!L306</f>
        <v>0</v>
      </c>
      <c r="M306" s="34">
        <f>[1]FPG!M306+'[1]C.E.'!M306+[1]SAP!M306</f>
        <v>0</v>
      </c>
      <c r="N306" s="34">
        <f>[1]FPG!N306+'[1]C.E.'!N306+[1]SAP!N306</f>
        <v>0</v>
      </c>
      <c r="O306" s="34">
        <f>[1]FPG!O306+'[1]C.E.'!O306+[1]SAP!O306</f>
        <v>0</v>
      </c>
      <c r="P306" s="34">
        <f>[1]FPG!P306+'[1]C.E.'!P306+[1]SAP!P306</f>
        <v>0</v>
      </c>
      <c r="Q306" s="34">
        <f>[1]FPG!Q306+'[1]C.E.'!Q306+[1]SAP!Q306</f>
        <v>0</v>
      </c>
      <c r="R306" s="27"/>
      <c r="S306" s="35">
        <f t="shared" si="45"/>
        <v>0</v>
      </c>
      <c r="T306" s="36">
        <f t="shared" si="46"/>
        <v>0</v>
      </c>
      <c r="V306" s="21">
        <f>S306-[1]FPG!S306-'[1]C.E.'!S306</f>
        <v>0</v>
      </c>
      <c r="W306" s="22"/>
    </row>
    <row r="307" spans="1:23" hidden="1" outlineLevel="1" x14ac:dyDescent="0.2">
      <c r="A307" s="9"/>
      <c r="B307" s="48"/>
      <c r="C307" s="31">
        <v>400207</v>
      </c>
      <c r="D307" s="32" t="s">
        <v>287</v>
      </c>
      <c r="E307" s="33"/>
      <c r="F307" s="34">
        <f>[1]FPG!F307+'[1]C.E.'!F307+[1]SAP!F307</f>
        <v>0</v>
      </c>
      <c r="G307" s="34">
        <f>[1]FPG!G307+'[1]C.E.'!G307+[1]SAP!G307</f>
        <v>0</v>
      </c>
      <c r="H307" s="34">
        <f>[1]FPG!H307+'[1]C.E.'!H307+[1]SAP!H307</f>
        <v>0</v>
      </c>
      <c r="I307" s="34">
        <f>[1]FPG!I307+'[1]C.E.'!I307+[1]SAP!I307</f>
        <v>0</v>
      </c>
      <c r="J307" s="34">
        <f>[1]FPG!J307+'[1]C.E.'!J307+[1]SAP!J307</f>
        <v>0</v>
      </c>
      <c r="K307" s="34">
        <f>[1]FPG!K307+'[1]C.E.'!K307+[1]SAP!K307</f>
        <v>0</v>
      </c>
      <c r="L307" s="34">
        <f>[1]FPG!L307+'[1]C.E.'!L307+[1]SAP!L307</f>
        <v>0</v>
      </c>
      <c r="M307" s="34">
        <f>[1]FPG!M307+'[1]C.E.'!M307+[1]SAP!M307</f>
        <v>0</v>
      </c>
      <c r="N307" s="34">
        <f>[1]FPG!N307+'[1]C.E.'!N307+[1]SAP!N307</f>
        <v>0</v>
      </c>
      <c r="O307" s="34">
        <f>[1]FPG!O307+'[1]C.E.'!O307+[1]SAP!O307</f>
        <v>0</v>
      </c>
      <c r="P307" s="34">
        <f>[1]FPG!P307+'[1]C.E.'!P307+[1]SAP!P307</f>
        <v>0</v>
      </c>
      <c r="Q307" s="34">
        <f>[1]FPG!Q307+'[1]C.E.'!Q307+[1]SAP!Q307</f>
        <v>0</v>
      </c>
      <c r="R307" s="27"/>
      <c r="S307" s="35">
        <f t="shared" si="45"/>
        <v>0</v>
      </c>
      <c r="T307" s="36">
        <f t="shared" si="46"/>
        <v>0</v>
      </c>
      <c r="V307" s="21">
        <f>S307-[1]FPG!S307-'[1]C.E.'!S307</f>
        <v>0</v>
      </c>
      <c r="W307" s="22"/>
    </row>
    <row r="308" spans="1:23" hidden="1" outlineLevel="1" x14ac:dyDescent="0.2">
      <c r="A308" s="9"/>
      <c r="B308" s="48"/>
      <c r="C308" s="31">
        <v>400208</v>
      </c>
      <c r="D308" s="32" t="s">
        <v>288</v>
      </c>
      <c r="E308" s="33"/>
      <c r="F308" s="34">
        <f>[1]FPG!F308+'[1]C.E.'!F308+[1]SAP!F308</f>
        <v>0</v>
      </c>
      <c r="G308" s="34">
        <f>[1]FPG!G308+'[1]C.E.'!G308+[1]SAP!G308</f>
        <v>0</v>
      </c>
      <c r="H308" s="34">
        <f>[1]FPG!H308+'[1]C.E.'!H308+[1]SAP!H308</f>
        <v>0</v>
      </c>
      <c r="I308" s="34">
        <f>[1]FPG!I308+'[1]C.E.'!I308+[1]SAP!I308</f>
        <v>0</v>
      </c>
      <c r="J308" s="34">
        <f>[1]FPG!J308+'[1]C.E.'!J308+[1]SAP!J308</f>
        <v>0</v>
      </c>
      <c r="K308" s="34">
        <f>[1]FPG!K308+'[1]C.E.'!K308+[1]SAP!K308</f>
        <v>0</v>
      </c>
      <c r="L308" s="34">
        <f>[1]FPG!L308+'[1]C.E.'!L308+[1]SAP!L308</f>
        <v>0</v>
      </c>
      <c r="M308" s="34">
        <f>[1]FPG!M308+'[1]C.E.'!M308+[1]SAP!M308</f>
        <v>0</v>
      </c>
      <c r="N308" s="34">
        <f>[1]FPG!N308+'[1]C.E.'!N308+[1]SAP!N308</f>
        <v>0</v>
      </c>
      <c r="O308" s="34">
        <f>[1]FPG!O308+'[1]C.E.'!O308+[1]SAP!O308</f>
        <v>0</v>
      </c>
      <c r="P308" s="34">
        <f>[1]FPG!P308+'[1]C.E.'!P308+[1]SAP!P308</f>
        <v>0</v>
      </c>
      <c r="Q308" s="34">
        <f>[1]FPG!Q308+'[1]C.E.'!Q308+[1]SAP!Q308</f>
        <v>0</v>
      </c>
      <c r="R308" s="27"/>
      <c r="S308" s="35">
        <f t="shared" si="45"/>
        <v>0</v>
      </c>
      <c r="T308" s="36">
        <f t="shared" si="46"/>
        <v>0</v>
      </c>
      <c r="V308" s="21">
        <f>S308-[1]FPG!S308-'[1]C.E.'!S308</f>
        <v>0</v>
      </c>
      <c r="W308" s="22"/>
    </row>
    <row r="309" spans="1:23" hidden="1" outlineLevel="1" x14ac:dyDescent="0.2">
      <c r="A309" s="9"/>
      <c r="B309" s="48"/>
      <c r="C309" s="75">
        <v>400209</v>
      </c>
      <c r="D309" s="76" t="s">
        <v>289</v>
      </c>
      <c r="E309" s="77"/>
      <c r="F309" s="34">
        <f>[1]FPG!F309+'[1]C.E.'!F309+[1]SAP!F309</f>
        <v>0</v>
      </c>
      <c r="G309" s="34">
        <f>[1]FPG!G309+'[1]C.E.'!G309+[1]SAP!G309</f>
        <v>0</v>
      </c>
      <c r="H309" s="34">
        <f>[1]FPG!H309+'[1]C.E.'!H309+[1]SAP!H309</f>
        <v>0</v>
      </c>
      <c r="I309" s="34">
        <f>[1]FPG!I309+'[1]C.E.'!I309+[1]SAP!I309</f>
        <v>0</v>
      </c>
      <c r="J309" s="34">
        <f>[1]FPG!J309+'[1]C.E.'!J309+[1]SAP!J309</f>
        <v>0</v>
      </c>
      <c r="K309" s="34">
        <f>[1]FPG!K309+'[1]C.E.'!K309+[1]SAP!K309</f>
        <v>0</v>
      </c>
      <c r="L309" s="34">
        <f>[1]FPG!L309+'[1]C.E.'!L309+[1]SAP!L309</f>
        <v>0</v>
      </c>
      <c r="M309" s="34">
        <f>[1]FPG!M309+'[1]C.E.'!M309+[1]SAP!M309</f>
        <v>0</v>
      </c>
      <c r="N309" s="34">
        <f>[1]FPG!N309+'[1]C.E.'!N309+[1]SAP!N309</f>
        <v>0</v>
      </c>
      <c r="O309" s="34">
        <f>[1]FPG!O309+'[1]C.E.'!O309+[1]SAP!O309</f>
        <v>0</v>
      </c>
      <c r="P309" s="34">
        <f>[1]FPG!P309+'[1]C.E.'!P309+[1]SAP!P309</f>
        <v>0</v>
      </c>
      <c r="Q309" s="34">
        <f>[1]FPG!Q309+'[1]C.E.'!Q309+[1]SAP!Q309</f>
        <v>0</v>
      </c>
      <c r="R309" s="78"/>
      <c r="S309" s="79">
        <f t="shared" si="45"/>
        <v>0</v>
      </c>
      <c r="T309" s="36">
        <f t="shared" si="46"/>
        <v>0</v>
      </c>
      <c r="V309" s="21">
        <f>S309-[1]FPG!S309-'[1]C.E.'!S309</f>
        <v>0</v>
      </c>
      <c r="W309" s="22"/>
    </row>
    <row r="310" spans="1:23" outlineLevel="1" x14ac:dyDescent="0.2">
      <c r="A310" s="9"/>
      <c r="B310" s="48"/>
      <c r="C310" s="31">
        <v>400210</v>
      </c>
      <c r="D310" s="32" t="s">
        <v>290</v>
      </c>
      <c r="E310" s="33"/>
      <c r="F310" s="34">
        <f>[1]FPG!F310+'[1]C.E.'!F310+[1]SAP!F310</f>
        <v>0</v>
      </c>
      <c r="G310" s="34">
        <f>[1]FPG!G310+'[1]C.E.'!G310+[1]SAP!G310</f>
        <v>0</v>
      </c>
      <c r="H310" s="34">
        <f>[1]FPG!H310+'[1]C.E.'!H310+[1]SAP!H310</f>
        <v>0</v>
      </c>
      <c r="I310" s="34">
        <f>[1]FPG!I310+'[1]C.E.'!I310+[1]SAP!I310</f>
        <v>0</v>
      </c>
      <c r="J310" s="34">
        <f>[1]FPG!J310+'[1]C.E.'!J310+[1]SAP!J310</f>
        <v>0</v>
      </c>
      <c r="K310" s="34">
        <f>[1]FPG!K310+'[1]C.E.'!K310+[1]SAP!K310</f>
        <v>1745.7</v>
      </c>
      <c r="L310" s="34">
        <f>[1]FPG!L310+'[1]C.E.'!L310+[1]SAP!L310</f>
        <v>4594.7</v>
      </c>
      <c r="M310" s="34">
        <f>[1]FPG!M310+'[1]C.E.'!M310+[1]SAP!M310</f>
        <v>0</v>
      </c>
      <c r="N310" s="34">
        <f>[1]FPG!N310+'[1]C.E.'!N310+[1]SAP!N310</f>
        <v>0</v>
      </c>
      <c r="O310" s="34">
        <f>[1]FPG!O310+'[1]C.E.'!O310+[1]SAP!O310</f>
        <v>0</v>
      </c>
      <c r="P310" s="34">
        <f>[1]FPG!P310+'[1]C.E.'!P310+[1]SAP!P310</f>
        <v>0</v>
      </c>
      <c r="Q310" s="34">
        <f>[1]FPG!Q310+'[1]C.E.'!Q310+[1]SAP!Q310</f>
        <v>0</v>
      </c>
      <c r="R310" s="27"/>
      <c r="S310" s="35">
        <f t="shared" si="45"/>
        <v>6340.4</v>
      </c>
      <c r="T310" s="36">
        <f t="shared" si="46"/>
        <v>5.4172315471584553E-4</v>
      </c>
      <c r="V310" s="21">
        <f>S310-[1]FPG!S310-'[1]C.E.'!S310</f>
        <v>0</v>
      </c>
      <c r="W310" s="22"/>
    </row>
    <row r="311" spans="1:23" outlineLevel="1" x14ac:dyDescent="0.2">
      <c r="A311" s="9"/>
      <c r="B311" s="48"/>
      <c r="C311" s="75">
        <v>400211</v>
      </c>
      <c r="D311" s="76" t="s">
        <v>291</v>
      </c>
      <c r="E311" s="33"/>
      <c r="F311" s="34">
        <f>[1]FPG!F311+'[1]C.E.'!F311+[1]SAP!F311</f>
        <v>0</v>
      </c>
      <c r="G311" s="34">
        <f>[1]FPG!G311+'[1]C.E.'!G311+[1]SAP!G311</f>
        <v>0</v>
      </c>
      <c r="H311" s="34">
        <f>[1]FPG!H311+'[1]C.E.'!H311+[1]SAP!H311</f>
        <v>0</v>
      </c>
      <c r="I311" s="34">
        <f>[1]FPG!I311+'[1]C.E.'!I311+[1]SAP!I311</f>
        <v>0</v>
      </c>
      <c r="J311" s="34">
        <f>[1]FPG!J311+'[1]C.E.'!J311+[1]SAP!J311</f>
        <v>0</v>
      </c>
      <c r="K311" s="34">
        <f>[1]FPG!K311+'[1]C.E.'!K311+[1]SAP!K311</f>
        <v>0</v>
      </c>
      <c r="L311" s="34">
        <f>[1]FPG!L311+'[1]C.E.'!L311+[1]SAP!L311</f>
        <v>0</v>
      </c>
      <c r="M311" s="34">
        <f>[1]FPG!M311+'[1]C.E.'!M311+[1]SAP!M311</f>
        <v>0</v>
      </c>
      <c r="N311" s="34">
        <f>[1]FPG!N311+'[1]C.E.'!N311+[1]SAP!N311</f>
        <v>0</v>
      </c>
      <c r="O311" s="34">
        <f>[1]FPG!O311+'[1]C.E.'!O311+[1]SAP!O311</f>
        <v>0</v>
      </c>
      <c r="P311" s="34">
        <f>[1]FPG!P311+'[1]C.E.'!P311+[1]SAP!P311</f>
        <v>0</v>
      </c>
      <c r="Q311" s="34">
        <f>[1]FPG!Q311+'[1]C.E.'!Q311+[1]SAP!Q311</f>
        <v>0</v>
      </c>
      <c r="R311" s="27"/>
      <c r="S311" s="79">
        <f t="shared" si="45"/>
        <v>0</v>
      </c>
      <c r="T311" s="36">
        <f t="shared" si="46"/>
        <v>0</v>
      </c>
      <c r="V311" s="21">
        <f>S311-[1]FPG!S311-'[1]C.E.'!S311</f>
        <v>0</v>
      </c>
      <c r="W311" s="22"/>
    </row>
    <row r="312" spans="1:23" hidden="1" outlineLevel="1" x14ac:dyDescent="0.2">
      <c r="A312" s="9"/>
      <c r="B312" s="48"/>
      <c r="C312" s="31">
        <v>400298</v>
      </c>
      <c r="D312" s="32" t="s">
        <v>292</v>
      </c>
      <c r="E312" s="33"/>
      <c r="F312" s="34">
        <f>[1]FPG!F312+'[1]C.E.'!F312+[1]SAP!F312</f>
        <v>0</v>
      </c>
      <c r="G312" s="34">
        <f>[1]FPG!G312+'[1]C.E.'!G312+[1]SAP!G312</f>
        <v>0</v>
      </c>
      <c r="H312" s="34">
        <f>[1]FPG!H312+'[1]C.E.'!H312+[1]SAP!H312</f>
        <v>0</v>
      </c>
      <c r="I312" s="34">
        <f>[1]FPG!I312+'[1]C.E.'!I312+[1]SAP!I312</f>
        <v>0</v>
      </c>
      <c r="J312" s="34">
        <f>[1]FPG!J312+'[1]C.E.'!J312+[1]SAP!J312</f>
        <v>0</v>
      </c>
      <c r="K312" s="34">
        <f>[1]FPG!K312+'[1]C.E.'!K312+[1]SAP!K312</f>
        <v>0</v>
      </c>
      <c r="L312" s="34">
        <f>[1]FPG!L312+'[1]C.E.'!L312+[1]SAP!L312</f>
        <v>0</v>
      </c>
      <c r="M312" s="34">
        <f>[1]FPG!M312+'[1]C.E.'!M312+[1]SAP!M312</f>
        <v>0</v>
      </c>
      <c r="N312" s="34">
        <f>[1]FPG!N312+'[1]C.E.'!N312+[1]SAP!N312</f>
        <v>0</v>
      </c>
      <c r="O312" s="34">
        <f>[1]FPG!O312+'[1]C.E.'!O312+[1]SAP!O312</f>
        <v>0</v>
      </c>
      <c r="P312" s="34">
        <f>[1]FPG!P312+'[1]C.E.'!P312+[1]SAP!P312</f>
        <v>0</v>
      </c>
      <c r="Q312" s="34">
        <f>[1]FPG!Q312+'[1]C.E.'!Q312+[1]SAP!Q312</f>
        <v>0</v>
      </c>
      <c r="R312" s="27"/>
      <c r="S312" s="35">
        <f t="shared" si="45"/>
        <v>0</v>
      </c>
      <c r="T312" s="36">
        <f t="shared" si="46"/>
        <v>0</v>
      </c>
      <c r="V312" s="21">
        <f>S312-[1]FPG!S312-'[1]C.E.'!S312</f>
        <v>0</v>
      </c>
      <c r="W312" s="22"/>
    </row>
    <row r="313" spans="1:23" hidden="1" outlineLevel="1" x14ac:dyDescent="0.2">
      <c r="A313" s="9"/>
      <c r="B313" s="48"/>
      <c r="C313" s="31">
        <v>400308</v>
      </c>
      <c r="D313" s="32" t="s">
        <v>293</v>
      </c>
      <c r="E313" s="33"/>
      <c r="F313" s="34">
        <f>[1]FPG!F313+'[1]C.E.'!F313+[1]SAP!F313</f>
        <v>0</v>
      </c>
      <c r="G313" s="34">
        <f>[1]FPG!G313+'[1]C.E.'!G313+[1]SAP!G313</f>
        <v>0</v>
      </c>
      <c r="H313" s="34">
        <f>[1]FPG!H313+'[1]C.E.'!H313+[1]SAP!H313</f>
        <v>0</v>
      </c>
      <c r="I313" s="34">
        <f>[1]FPG!I313+'[1]C.E.'!I313+[1]SAP!I313</f>
        <v>0</v>
      </c>
      <c r="J313" s="34">
        <f>[1]FPG!J313+'[1]C.E.'!J313+[1]SAP!J313</f>
        <v>0</v>
      </c>
      <c r="K313" s="34">
        <f>[1]FPG!K313+'[1]C.E.'!K313+[1]SAP!K313</f>
        <v>0</v>
      </c>
      <c r="L313" s="34">
        <f>[1]FPG!L313+'[1]C.E.'!L313+[1]SAP!L313</f>
        <v>0</v>
      </c>
      <c r="M313" s="34">
        <f>[1]FPG!M313+'[1]C.E.'!M313+[1]SAP!M313</f>
        <v>0</v>
      </c>
      <c r="N313" s="34">
        <f>[1]FPG!N313+'[1]C.E.'!N313+[1]SAP!N313</f>
        <v>0</v>
      </c>
      <c r="O313" s="34">
        <f>[1]FPG!O313+'[1]C.E.'!O313+[1]SAP!O313</f>
        <v>0</v>
      </c>
      <c r="P313" s="34">
        <f>[1]FPG!P313+'[1]C.E.'!P313+[1]SAP!P313</f>
        <v>0</v>
      </c>
      <c r="Q313" s="34">
        <f>[1]FPG!Q313+'[1]C.E.'!Q313+[1]SAP!Q313</f>
        <v>0</v>
      </c>
      <c r="R313" s="27"/>
      <c r="S313" s="35">
        <f t="shared" si="45"/>
        <v>0</v>
      </c>
      <c r="T313" s="36">
        <f t="shared" si="46"/>
        <v>0</v>
      </c>
      <c r="V313" s="21">
        <f>S313-[1]FPG!S313-'[1]C.E.'!S313</f>
        <v>0</v>
      </c>
      <c r="W313" s="22"/>
    </row>
    <row r="314" spans="1:23" x14ac:dyDescent="0.2">
      <c r="A314" s="9"/>
      <c r="B314" s="49" t="s">
        <v>294</v>
      </c>
      <c r="C314" s="49" t="s">
        <v>295</v>
      </c>
      <c r="D314" s="50"/>
      <c r="E314" s="51" t="s">
        <v>102</v>
      </c>
      <c r="F314" s="52">
        <f>SUM(F315:F320)</f>
        <v>4846.1197000000002</v>
      </c>
      <c r="G314" s="52">
        <f>SUM(G315:G320)</f>
        <v>4846.1197000000002</v>
      </c>
      <c r="H314" s="52">
        <f t="shared" ref="H314:Q314" si="47">SUM(H315:H320)</f>
        <v>4846.1197000000002</v>
      </c>
      <c r="I314" s="52">
        <f t="shared" si="47"/>
        <v>4846.1197000000002</v>
      </c>
      <c r="J314" s="52">
        <f t="shared" si="47"/>
        <v>4846.1197000000002</v>
      </c>
      <c r="K314" s="52">
        <f t="shared" si="47"/>
        <v>4846.1197000000002</v>
      </c>
      <c r="L314" s="52">
        <f t="shared" si="47"/>
        <v>4846.1197000000002</v>
      </c>
      <c r="M314" s="52">
        <f t="shared" si="47"/>
        <v>4846.1197000000002</v>
      </c>
      <c r="N314" s="52">
        <f t="shared" si="47"/>
        <v>4846.1197000000002</v>
      </c>
      <c r="O314" s="52">
        <f t="shared" si="47"/>
        <v>4846.1197000000002</v>
      </c>
      <c r="P314" s="52">
        <f t="shared" si="47"/>
        <v>4846.1197000000002</v>
      </c>
      <c r="Q314" s="52">
        <f t="shared" si="47"/>
        <v>4846.1197000000002</v>
      </c>
      <c r="R314" s="27"/>
      <c r="S314" s="28">
        <f t="shared" si="45"/>
        <v>58153.436400000013</v>
      </c>
      <c r="T314" s="29">
        <f>S314/$S$43</f>
        <v>4.9686239076675437E-3</v>
      </c>
      <c r="V314" s="21">
        <f>S314-[1]FPG!S314-'[1]C.E.'!S314</f>
        <v>2.0008883439004421E-11</v>
      </c>
      <c r="W314" s="22"/>
    </row>
    <row r="315" spans="1:23" hidden="1" outlineLevel="1" x14ac:dyDescent="0.2">
      <c r="A315" s="9"/>
      <c r="B315" s="48"/>
      <c r="C315" s="31">
        <v>400212</v>
      </c>
      <c r="D315" s="32" t="s">
        <v>296</v>
      </c>
      <c r="E315" s="33"/>
      <c r="F315" s="34">
        <f>[1]FPG!F315+'[1]C.E.'!F315+[1]SAP!F315</f>
        <v>0</v>
      </c>
      <c r="G315" s="34">
        <f>[1]FPG!G315+'[1]C.E.'!G315+[1]SAP!G315</f>
        <v>0</v>
      </c>
      <c r="H315" s="34">
        <f>[1]FPG!H315+'[1]C.E.'!H315+[1]SAP!H315</f>
        <v>0</v>
      </c>
      <c r="I315" s="34">
        <f>[1]FPG!I315+'[1]C.E.'!I315+[1]SAP!I315</f>
        <v>0</v>
      </c>
      <c r="J315" s="34">
        <f>[1]FPG!J315+'[1]C.E.'!J315+[1]SAP!J315</f>
        <v>0</v>
      </c>
      <c r="K315" s="34">
        <f>[1]FPG!K315+'[1]C.E.'!K315+[1]SAP!K315</f>
        <v>0</v>
      </c>
      <c r="L315" s="34">
        <f>[1]FPG!L315+'[1]C.E.'!L315+[1]SAP!L315</f>
        <v>0</v>
      </c>
      <c r="M315" s="34">
        <f>[1]FPG!M315+'[1]C.E.'!M315+[1]SAP!M315</f>
        <v>0</v>
      </c>
      <c r="N315" s="34">
        <f>[1]FPG!N315+'[1]C.E.'!N315+[1]SAP!N315</f>
        <v>0</v>
      </c>
      <c r="O315" s="34">
        <f>[1]FPG!O315+'[1]C.E.'!O315+[1]SAP!O315</f>
        <v>0</v>
      </c>
      <c r="P315" s="34">
        <f>[1]FPG!P315+'[1]C.E.'!P315+[1]SAP!P315</f>
        <v>0</v>
      </c>
      <c r="Q315" s="34">
        <f>[1]FPG!Q315+'[1]C.E.'!Q315+[1]SAP!Q315</f>
        <v>0</v>
      </c>
      <c r="R315" s="27"/>
      <c r="S315" s="35">
        <f t="shared" si="45"/>
        <v>0</v>
      </c>
      <c r="T315" s="36">
        <f t="shared" ref="T315:T320" si="48">S315/$S$43</f>
        <v>0</v>
      </c>
      <c r="V315" s="21">
        <f>S315-[1]FPG!S315-'[1]C.E.'!S315</f>
        <v>0</v>
      </c>
      <c r="W315" s="22"/>
    </row>
    <row r="316" spans="1:23" hidden="1" outlineLevel="1" x14ac:dyDescent="0.2">
      <c r="A316" s="9"/>
      <c r="B316" s="48"/>
      <c r="C316" s="31">
        <v>400213</v>
      </c>
      <c r="D316" s="32" t="s">
        <v>297</v>
      </c>
      <c r="E316" s="33"/>
      <c r="F316" s="34">
        <f>[1]FPG!F316+'[1]C.E.'!F316+[1]SAP!F316</f>
        <v>0</v>
      </c>
      <c r="G316" s="34">
        <f>[1]FPG!G316+'[1]C.E.'!G316+[1]SAP!G316</f>
        <v>0</v>
      </c>
      <c r="H316" s="34">
        <f>[1]FPG!H316+'[1]C.E.'!H316+[1]SAP!H316</f>
        <v>0</v>
      </c>
      <c r="I316" s="34">
        <f>[1]FPG!I316+'[1]C.E.'!I316+[1]SAP!I316</f>
        <v>0</v>
      </c>
      <c r="J316" s="34">
        <f>[1]FPG!J316+'[1]C.E.'!J316+[1]SAP!J316</f>
        <v>0</v>
      </c>
      <c r="K316" s="34">
        <f>[1]FPG!K316+'[1]C.E.'!K316+[1]SAP!K316</f>
        <v>0</v>
      </c>
      <c r="L316" s="34">
        <f>[1]FPG!L316+'[1]C.E.'!L316+[1]SAP!L316</f>
        <v>0</v>
      </c>
      <c r="M316" s="34">
        <f>[1]FPG!M316+'[1]C.E.'!M316+[1]SAP!M316</f>
        <v>0</v>
      </c>
      <c r="N316" s="34">
        <f>[1]FPG!N316+'[1]C.E.'!N316+[1]SAP!N316</f>
        <v>0</v>
      </c>
      <c r="O316" s="34">
        <f>[1]FPG!O316+'[1]C.E.'!O316+[1]SAP!O316</f>
        <v>0</v>
      </c>
      <c r="P316" s="34">
        <f>[1]FPG!P316+'[1]C.E.'!P316+[1]SAP!P316</f>
        <v>0</v>
      </c>
      <c r="Q316" s="34">
        <f>[1]FPG!Q316+'[1]C.E.'!Q316+[1]SAP!Q316</f>
        <v>0</v>
      </c>
      <c r="R316" s="27"/>
      <c r="S316" s="35">
        <f t="shared" si="45"/>
        <v>0</v>
      </c>
      <c r="T316" s="36">
        <f t="shared" si="48"/>
        <v>0</v>
      </c>
      <c r="V316" s="21">
        <f>S316-[1]FPG!S316-'[1]C.E.'!S316</f>
        <v>0</v>
      </c>
      <c r="W316" s="22"/>
    </row>
    <row r="317" spans="1:23" outlineLevel="1" x14ac:dyDescent="0.2">
      <c r="A317" s="9"/>
      <c r="B317" s="48"/>
      <c r="C317" s="31">
        <v>400214</v>
      </c>
      <c r="D317" s="32" t="s">
        <v>298</v>
      </c>
      <c r="E317" s="33"/>
      <c r="F317" s="34">
        <f>[1]FPG!F317+'[1]C.E.'!F317+[1]SAP!F317</f>
        <v>3663.6</v>
      </c>
      <c r="G317" s="34">
        <f>[1]FPG!G317+'[1]C.E.'!G317+[1]SAP!G317</f>
        <v>3663.6</v>
      </c>
      <c r="H317" s="34">
        <f>[1]FPG!H317+'[1]C.E.'!H317+[1]SAP!H317</f>
        <v>3663.6</v>
      </c>
      <c r="I317" s="34">
        <f>[1]FPG!I317+'[1]C.E.'!I317+[1]SAP!I317</f>
        <v>3663.6</v>
      </c>
      <c r="J317" s="34">
        <f>[1]FPG!J317+'[1]C.E.'!J317+[1]SAP!J317</f>
        <v>3663.6</v>
      </c>
      <c r="K317" s="34">
        <f>[1]FPG!K317+'[1]C.E.'!K317+[1]SAP!K317</f>
        <v>3663.6</v>
      </c>
      <c r="L317" s="34">
        <f>[1]FPG!L317+'[1]C.E.'!L317+[1]SAP!L317</f>
        <v>3663.6</v>
      </c>
      <c r="M317" s="34">
        <f>[1]FPG!M317+'[1]C.E.'!M317+[1]SAP!M317</f>
        <v>3663.6</v>
      </c>
      <c r="N317" s="34">
        <f>[1]FPG!N317+'[1]C.E.'!N317+[1]SAP!N317</f>
        <v>3663.6</v>
      </c>
      <c r="O317" s="34">
        <f>[1]FPG!O317+'[1]C.E.'!O317+[1]SAP!O317</f>
        <v>3663.6</v>
      </c>
      <c r="P317" s="34">
        <f>[1]FPG!P317+'[1]C.E.'!P317+[1]SAP!P317</f>
        <v>3663.6</v>
      </c>
      <c r="Q317" s="34">
        <f>[1]FPG!Q317+'[1]C.E.'!Q317+[1]SAP!Q317</f>
        <v>3663.6</v>
      </c>
      <c r="R317" s="27"/>
      <c r="S317" s="35">
        <f t="shared" si="45"/>
        <v>43963.19999999999</v>
      </c>
      <c r="T317" s="36">
        <f t="shared" si="48"/>
        <v>3.7562115001267518E-3</v>
      </c>
      <c r="V317" s="21">
        <f>S317-[1]FPG!S317-'[1]C.E.'!S317</f>
        <v>0</v>
      </c>
      <c r="W317" s="22"/>
    </row>
    <row r="318" spans="1:23" hidden="1" outlineLevel="1" x14ac:dyDescent="0.2">
      <c r="A318" s="9"/>
      <c r="B318" s="48"/>
      <c r="C318" s="31">
        <v>400215</v>
      </c>
      <c r="D318" s="32" t="s">
        <v>299</v>
      </c>
      <c r="E318" s="33"/>
      <c r="F318" s="34">
        <f>[1]FPG!F318+'[1]C.E.'!F318+[1]SAP!F318</f>
        <v>0</v>
      </c>
      <c r="G318" s="34">
        <f>[1]FPG!G318+'[1]C.E.'!G318+[1]SAP!G318</f>
        <v>0</v>
      </c>
      <c r="H318" s="34">
        <f>[1]FPG!H318+'[1]C.E.'!H318+[1]SAP!H318</f>
        <v>0</v>
      </c>
      <c r="I318" s="34">
        <f>[1]FPG!I318+'[1]C.E.'!I318+[1]SAP!I318</f>
        <v>0</v>
      </c>
      <c r="J318" s="34">
        <f>[1]FPG!J318+'[1]C.E.'!J318+[1]SAP!J318</f>
        <v>0</v>
      </c>
      <c r="K318" s="34">
        <f>[1]FPG!K318+'[1]C.E.'!K318+[1]SAP!K318</f>
        <v>0</v>
      </c>
      <c r="L318" s="34">
        <f>[1]FPG!L318+'[1]C.E.'!L318+[1]SAP!L318</f>
        <v>0</v>
      </c>
      <c r="M318" s="34">
        <f>[1]FPG!M318+'[1]C.E.'!M318+[1]SAP!M318</f>
        <v>0</v>
      </c>
      <c r="N318" s="34">
        <f>[1]FPG!N318+'[1]C.E.'!N318+[1]SAP!N318</f>
        <v>0</v>
      </c>
      <c r="O318" s="34">
        <f>[1]FPG!O318+'[1]C.E.'!O318+[1]SAP!O318</f>
        <v>0</v>
      </c>
      <c r="P318" s="34">
        <f>[1]FPG!P318+'[1]C.E.'!P318+[1]SAP!P318</f>
        <v>0</v>
      </c>
      <c r="Q318" s="34">
        <f>[1]FPG!Q318+'[1]C.E.'!Q318+[1]SAP!Q318</f>
        <v>0</v>
      </c>
      <c r="R318" s="27"/>
      <c r="S318" s="35">
        <f t="shared" si="45"/>
        <v>0</v>
      </c>
      <c r="T318" s="36">
        <f t="shared" si="48"/>
        <v>0</v>
      </c>
      <c r="V318" s="21">
        <f>S318-[1]FPG!S318-'[1]C.E.'!S318</f>
        <v>0</v>
      </c>
      <c r="W318" s="22"/>
    </row>
    <row r="319" spans="1:23" hidden="1" outlineLevel="1" x14ac:dyDescent="0.2">
      <c r="A319" s="9"/>
      <c r="B319" s="48"/>
      <c r="C319" s="31">
        <v>400216</v>
      </c>
      <c r="D319" s="32" t="s">
        <v>300</v>
      </c>
      <c r="E319" s="33"/>
      <c r="F319" s="34">
        <f>[1]FPG!F319+'[1]C.E.'!F319+[1]SAP!F319</f>
        <v>0</v>
      </c>
      <c r="G319" s="34">
        <f>[1]FPG!G319+'[1]C.E.'!G319+[1]SAP!G319</f>
        <v>0</v>
      </c>
      <c r="H319" s="34">
        <f>[1]FPG!H319+'[1]C.E.'!H319+[1]SAP!H319</f>
        <v>0</v>
      </c>
      <c r="I319" s="34">
        <f>[1]FPG!I319+'[1]C.E.'!I319+[1]SAP!I319</f>
        <v>0</v>
      </c>
      <c r="J319" s="34">
        <f>[1]FPG!J319+'[1]C.E.'!J319+[1]SAP!J319</f>
        <v>0</v>
      </c>
      <c r="K319" s="34">
        <f>[1]FPG!K319+'[1]C.E.'!K319+[1]SAP!K319</f>
        <v>0</v>
      </c>
      <c r="L319" s="34">
        <f>[1]FPG!L319+'[1]C.E.'!L319+[1]SAP!L319</f>
        <v>0</v>
      </c>
      <c r="M319" s="34">
        <f>[1]FPG!M319+'[1]C.E.'!M319+[1]SAP!M319</f>
        <v>0</v>
      </c>
      <c r="N319" s="34">
        <f>[1]FPG!N319+'[1]C.E.'!N319+[1]SAP!N319</f>
        <v>0</v>
      </c>
      <c r="O319" s="34">
        <f>[1]FPG!O319+'[1]C.E.'!O319+[1]SAP!O319</f>
        <v>0</v>
      </c>
      <c r="P319" s="34">
        <f>[1]FPG!P319+'[1]C.E.'!P319+[1]SAP!P319</f>
        <v>0</v>
      </c>
      <c r="Q319" s="34">
        <f>[1]FPG!Q319+'[1]C.E.'!Q319+[1]SAP!Q319</f>
        <v>0</v>
      </c>
      <c r="R319" s="27"/>
      <c r="S319" s="35">
        <f t="shared" si="45"/>
        <v>0</v>
      </c>
      <c r="T319" s="36">
        <f t="shared" si="48"/>
        <v>0</v>
      </c>
      <c r="V319" s="21">
        <f>S319-[1]FPG!S319-'[1]C.E.'!S319</f>
        <v>0</v>
      </c>
      <c r="W319" s="22"/>
    </row>
    <row r="320" spans="1:23" outlineLevel="1" x14ac:dyDescent="0.2">
      <c r="A320" s="9"/>
      <c r="B320" s="48"/>
      <c r="C320" s="31">
        <v>400217</v>
      </c>
      <c r="D320" s="32" t="s">
        <v>301</v>
      </c>
      <c r="E320" s="33"/>
      <c r="F320" s="34">
        <f>[1]FPG!F320+'[1]C.E.'!F320+[1]SAP!F320</f>
        <v>1182.5197000000001</v>
      </c>
      <c r="G320" s="34">
        <f>[1]FPG!G320+'[1]C.E.'!G320+[1]SAP!G320</f>
        <v>1182.5197000000001</v>
      </c>
      <c r="H320" s="34">
        <f>[1]FPG!H320+'[1]C.E.'!H320+[1]SAP!H320</f>
        <v>1182.5197000000001</v>
      </c>
      <c r="I320" s="34">
        <f>[1]FPG!I320+'[1]C.E.'!I320+[1]SAP!I320</f>
        <v>1182.5197000000001</v>
      </c>
      <c r="J320" s="34">
        <f>[1]FPG!J320+'[1]C.E.'!J320+[1]SAP!J320</f>
        <v>1182.5197000000001</v>
      </c>
      <c r="K320" s="34">
        <f>[1]FPG!K320+'[1]C.E.'!K320+[1]SAP!K320</f>
        <v>1182.5197000000001</v>
      </c>
      <c r="L320" s="34">
        <f>[1]FPG!L320+'[1]C.E.'!L320+[1]SAP!L320</f>
        <v>1182.5197000000001</v>
      </c>
      <c r="M320" s="34">
        <f>[1]FPG!M320+'[1]C.E.'!M320+[1]SAP!M320</f>
        <v>1182.5197000000001</v>
      </c>
      <c r="N320" s="34">
        <f>[1]FPG!N320+'[1]C.E.'!N320+[1]SAP!N320</f>
        <v>1182.5197000000001</v>
      </c>
      <c r="O320" s="34">
        <f>[1]FPG!O320+'[1]C.E.'!O320+[1]SAP!O320</f>
        <v>1182.5197000000001</v>
      </c>
      <c r="P320" s="34">
        <f>[1]FPG!P320+'[1]C.E.'!P320+[1]SAP!P320</f>
        <v>1182.5197000000001</v>
      </c>
      <c r="Q320" s="34">
        <f>[1]FPG!Q320+'[1]C.E.'!Q320+[1]SAP!Q320</f>
        <v>1182.5197000000001</v>
      </c>
      <c r="R320" s="27"/>
      <c r="S320" s="35">
        <f t="shared" si="45"/>
        <v>14190.236400000003</v>
      </c>
      <c r="T320" s="36">
        <f t="shared" si="48"/>
        <v>1.2124124075407901E-3</v>
      </c>
      <c r="V320" s="21">
        <f>S320-[1]FPG!S320-'[1]C.E.'!S320</f>
        <v>0</v>
      </c>
      <c r="W320" s="22"/>
    </row>
    <row r="321" spans="1:23" x14ac:dyDescent="0.2">
      <c r="A321" s="9"/>
      <c r="B321" s="49" t="s">
        <v>302</v>
      </c>
      <c r="C321" s="49" t="s">
        <v>303</v>
      </c>
      <c r="D321" s="50"/>
      <c r="E321" s="51" t="s">
        <v>102</v>
      </c>
      <c r="F321" s="52">
        <f>SUM(F322:F323)</f>
        <v>12000</v>
      </c>
      <c r="G321" s="52">
        <f>SUM(G322:G323)</f>
        <v>12000</v>
      </c>
      <c r="H321" s="52">
        <f t="shared" ref="H321:Q321" si="49">SUM(H322:H323)</f>
        <v>12000</v>
      </c>
      <c r="I321" s="52">
        <f t="shared" si="49"/>
        <v>12000</v>
      </c>
      <c r="J321" s="52">
        <f t="shared" si="49"/>
        <v>12000</v>
      </c>
      <c r="K321" s="52">
        <f t="shared" si="49"/>
        <v>12000</v>
      </c>
      <c r="L321" s="52">
        <f t="shared" si="49"/>
        <v>12000</v>
      </c>
      <c r="M321" s="52">
        <f t="shared" si="49"/>
        <v>12000</v>
      </c>
      <c r="N321" s="52">
        <f t="shared" si="49"/>
        <v>12000</v>
      </c>
      <c r="O321" s="52">
        <f t="shared" si="49"/>
        <v>12000</v>
      </c>
      <c r="P321" s="52">
        <f t="shared" si="49"/>
        <v>12000</v>
      </c>
      <c r="Q321" s="52">
        <f t="shared" si="49"/>
        <v>12000</v>
      </c>
      <c r="R321" s="27"/>
      <c r="S321" s="28">
        <f t="shared" si="45"/>
        <v>144000</v>
      </c>
      <c r="T321" s="29">
        <f>S321/$S$43</f>
        <v>1.2303345889704397E-2</v>
      </c>
      <c r="V321" s="21">
        <f>S321-[1]FPG!S321-'[1]C.E.'!S321</f>
        <v>0</v>
      </c>
      <c r="W321" s="22"/>
    </row>
    <row r="322" spans="1:23" outlineLevel="1" x14ac:dyDescent="0.2">
      <c r="A322" s="9"/>
      <c r="B322" s="48"/>
      <c r="C322" s="31">
        <v>400218</v>
      </c>
      <c r="D322" s="32" t="s">
        <v>304</v>
      </c>
      <c r="E322" s="33"/>
      <c r="F322" s="34">
        <f>[1]FPG!F322+'[1]C.E.'!F322+[1]SAP!F322</f>
        <v>12000</v>
      </c>
      <c r="G322" s="34">
        <f>[1]FPG!G322+'[1]C.E.'!G322+[1]SAP!G322</f>
        <v>12000</v>
      </c>
      <c r="H322" s="34">
        <f>[1]FPG!H322+'[1]C.E.'!H322+[1]SAP!H322</f>
        <v>12000</v>
      </c>
      <c r="I322" s="34">
        <f>[1]FPG!I322+'[1]C.E.'!I322+[1]SAP!I322</f>
        <v>12000</v>
      </c>
      <c r="J322" s="34">
        <f>[1]FPG!J322+'[1]C.E.'!J322+[1]SAP!J322</f>
        <v>12000</v>
      </c>
      <c r="K322" s="34">
        <f>[1]FPG!K322+'[1]C.E.'!K322+[1]SAP!K322</f>
        <v>12000</v>
      </c>
      <c r="L322" s="34">
        <f>[1]FPG!L322+'[1]C.E.'!L322+[1]SAP!L322</f>
        <v>12000</v>
      </c>
      <c r="M322" s="34">
        <f>[1]FPG!M322+'[1]C.E.'!M322+[1]SAP!M322</f>
        <v>12000</v>
      </c>
      <c r="N322" s="34">
        <f>[1]FPG!N322+'[1]C.E.'!N322+[1]SAP!N322</f>
        <v>12000</v>
      </c>
      <c r="O322" s="34">
        <f>[1]FPG!O322+'[1]C.E.'!O322+[1]SAP!O322</f>
        <v>12000</v>
      </c>
      <c r="P322" s="34">
        <f>[1]FPG!P322+'[1]C.E.'!P322+[1]SAP!P322</f>
        <v>12000</v>
      </c>
      <c r="Q322" s="34">
        <f>[1]FPG!Q322+'[1]C.E.'!Q322+[1]SAP!Q322</f>
        <v>12000</v>
      </c>
      <c r="R322" s="27"/>
      <c r="S322" s="35">
        <f t="shared" si="45"/>
        <v>144000</v>
      </c>
      <c r="T322" s="36">
        <f t="shared" ref="T322:T323" si="50">S322/$S$43</f>
        <v>1.2303345889704397E-2</v>
      </c>
      <c r="V322" s="21">
        <f>S322-[1]FPG!S322-'[1]C.E.'!S322</f>
        <v>0</v>
      </c>
      <c r="W322" s="22"/>
    </row>
    <row r="323" spans="1:23" hidden="1" outlineLevel="1" x14ac:dyDescent="0.2">
      <c r="A323" s="9"/>
      <c r="B323" s="48"/>
      <c r="C323" s="31">
        <v>400305</v>
      </c>
      <c r="D323" s="32" t="s">
        <v>305</v>
      </c>
      <c r="E323" s="33"/>
      <c r="F323" s="34">
        <f>[1]FPG!F323+'[1]C.E.'!F323+[1]SAP!F323</f>
        <v>0</v>
      </c>
      <c r="G323" s="34">
        <f>[1]FPG!G323+'[1]C.E.'!G323+[1]SAP!G323</f>
        <v>0</v>
      </c>
      <c r="H323" s="34">
        <f>[1]FPG!H323+'[1]C.E.'!H323+[1]SAP!H323</f>
        <v>0</v>
      </c>
      <c r="I323" s="34">
        <f>[1]FPG!I323+'[1]C.E.'!I323+[1]SAP!I323</f>
        <v>0</v>
      </c>
      <c r="J323" s="34">
        <f>[1]FPG!J323+'[1]C.E.'!J323+[1]SAP!J323</f>
        <v>0</v>
      </c>
      <c r="K323" s="34">
        <f>[1]FPG!K323+'[1]C.E.'!K323+[1]SAP!K323</f>
        <v>0</v>
      </c>
      <c r="L323" s="34">
        <f>[1]FPG!L323+'[1]C.E.'!L323+[1]SAP!L323</f>
        <v>0</v>
      </c>
      <c r="M323" s="34">
        <f>[1]FPG!M323+'[1]C.E.'!M323+[1]SAP!M323</f>
        <v>0</v>
      </c>
      <c r="N323" s="34">
        <f>[1]FPG!N323+'[1]C.E.'!N323+[1]SAP!N323</f>
        <v>0</v>
      </c>
      <c r="O323" s="34">
        <f>[1]FPG!O323+'[1]C.E.'!O323+[1]SAP!O323</f>
        <v>0</v>
      </c>
      <c r="P323" s="34">
        <f>[1]FPG!P323+'[1]C.E.'!P323+[1]SAP!P323</f>
        <v>0</v>
      </c>
      <c r="Q323" s="34">
        <f>[1]FPG!Q323+'[1]C.E.'!Q323+[1]SAP!Q323</f>
        <v>0</v>
      </c>
      <c r="R323" s="27"/>
      <c r="S323" s="35">
        <f t="shared" si="45"/>
        <v>0</v>
      </c>
      <c r="T323" s="36">
        <f t="shared" si="50"/>
        <v>0</v>
      </c>
      <c r="V323" s="21">
        <f>S323-[1]FPG!S323-'[1]C.E.'!S323</f>
        <v>0</v>
      </c>
      <c r="W323" s="22"/>
    </row>
    <row r="324" spans="1:23" x14ac:dyDescent="0.2">
      <c r="A324" s="9"/>
      <c r="B324" s="64" t="s">
        <v>306</v>
      </c>
      <c r="C324" s="64" t="s">
        <v>307</v>
      </c>
      <c r="D324" s="80"/>
      <c r="E324" s="51" t="s">
        <v>102</v>
      </c>
      <c r="F324" s="52">
        <f>SUM(F325:F346)</f>
        <v>5650</v>
      </c>
      <c r="G324" s="52">
        <f>SUM(G325:G346)</f>
        <v>5650</v>
      </c>
      <c r="H324" s="52">
        <f t="shared" ref="H324:Q324" si="51">SUM(H325:H346)</f>
        <v>65650</v>
      </c>
      <c r="I324" s="52">
        <f t="shared" si="51"/>
        <v>5650</v>
      </c>
      <c r="J324" s="52">
        <f t="shared" si="51"/>
        <v>5650</v>
      </c>
      <c r="K324" s="52">
        <f t="shared" si="51"/>
        <v>5650</v>
      </c>
      <c r="L324" s="52">
        <f t="shared" si="51"/>
        <v>6650</v>
      </c>
      <c r="M324" s="52">
        <f t="shared" si="51"/>
        <v>6650</v>
      </c>
      <c r="N324" s="52">
        <f t="shared" si="51"/>
        <v>36650</v>
      </c>
      <c r="O324" s="52">
        <f t="shared" si="51"/>
        <v>6650</v>
      </c>
      <c r="P324" s="52">
        <f t="shared" si="51"/>
        <v>6650</v>
      </c>
      <c r="Q324" s="52">
        <f t="shared" si="51"/>
        <v>6650</v>
      </c>
      <c r="R324" s="27"/>
      <c r="S324" s="81">
        <f t="shared" si="45"/>
        <v>163800</v>
      </c>
      <c r="T324" s="29">
        <f>S324/$S$43</f>
        <v>1.3995055949538752E-2</v>
      </c>
      <c r="V324" s="21">
        <f>S324-[1]FPG!S324-'[1]C.E.'!S324</f>
        <v>0</v>
      </c>
      <c r="W324" s="22"/>
    </row>
    <row r="325" spans="1:23" hidden="1" outlineLevel="1" x14ac:dyDescent="0.2">
      <c r="A325" s="9"/>
      <c r="B325" s="48"/>
      <c r="C325" s="31">
        <v>400219</v>
      </c>
      <c r="D325" s="32" t="s">
        <v>308</v>
      </c>
      <c r="E325" s="33"/>
      <c r="F325" s="34">
        <f>[1]FPG!F325+'[1]C.E.'!F325+[1]SAP!F325</f>
        <v>0</v>
      </c>
      <c r="G325" s="34">
        <f>[1]FPG!G325+'[1]C.E.'!G325+[1]SAP!G325</f>
        <v>0</v>
      </c>
      <c r="H325" s="34">
        <f>[1]FPG!H325+'[1]C.E.'!H325+[1]SAP!H325</f>
        <v>0</v>
      </c>
      <c r="I325" s="34">
        <f>[1]FPG!I325+'[1]C.E.'!I325+[1]SAP!I325</f>
        <v>0</v>
      </c>
      <c r="J325" s="34">
        <f>[1]FPG!J325+'[1]C.E.'!J325+[1]SAP!J325</f>
        <v>0</v>
      </c>
      <c r="K325" s="34">
        <f>[1]FPG!K325+'[1]C.E.'!K325+[1]SAP!K325</f>
        <v>0</v>
      </c>
      <c r="L325" s="34">
        <f>[1]FPG!L325+'[1]C.E.'!L325+[1]SAP!L325</f>
        <v>0</v>
      </c>
      <c r="M325" s="34">
        <f>[1]FPG!M325+'[1]C.E.'!M325+[1]SAP!M325</f>
        <v>0</v>
      </c>
      <c r="N325" s="34">
        <f>[1]FPG!N325+'[1]C.E.'!N325+[1]SAP!N325</f>
        <v>0</v>
      </c>
      <c r="O325" s="34">
        <f>[1]FPG!O325+'[1]C.E.'!O325+[1]SAP!O325</f>
        <v>0</v>
      </c>
      <c r="P325" s="34">
        <f>[1]FPG!P325+'[1]C.E.'!P325+[1]SAP!P325</f>
        <v>0</v>
      </c>
      <c r="Q325" s="34">
        <f>[1]FPG!Q325+'[1]C.E.'!Q325+[1]SAP!Q325</f>
        <v>0</v>
      </c>
      <c r="R325" s="27"/>
      <c r="S325" s="35">
        <f t="shared" si="45"/>
        <v>0</v>
      </c>
      <c r="T325" s="36">
        <f t="shared" ref="T325:T346" si="52">S325/$S$43</f>
        <v>0</v>
      </c>
      <c r="V325" s="21">
        <f>S325-[1]FPG!S325-'[1]C.E.'!S325</f>
        <v>0</v>
      </c>
      <c r="W325" s="22"/>
    </row>
    <row r="326" spans="1:23" outlineLevel="1" x14ac:dyDescent="0.2">
      <c r="A326" s="9"/>
      <c r="B326" s="48"/>
      <c r="C326" s="31">
        <v>400220</v>
      </c>
      <c r="D326" s="32" t="s">
        <v>309</v>
      </c>
      <c r="E326" s="33"/>
      <c r="F326" s="34">
        <f>[1]FPG!F326+'[1]C.E.'!F326+[1]SAP!F326</f>
        <v>0</v>
      </c>
      <c r="G326" s="34">
        <f>[1]FPG!G326+'[1]C.E.'!G326+[1]SAP!G326</f>
        <v>0</v>
      </c>
      <c r="H326" s="34">
        <f>[1]FPG!H326+'[1]C.E.'!H326+[1]SAP!H326</f>
        <v>0</v>
      </c>
      <c r="I326" s="34">
        <f>[1]FPG!I326+'[1]C.E.'!I326+[1]SAP!I326</f>
        <v>0</v>
      </c>
      <c r="J326" s="34">
        <f>[1]FPG!J326+'[1]C.E.'!J326+[1]SAP!J326</f>
        <v>0</v>
      </c>
      <c r="K326" s="34">
        <f>[1]FPG!K326+'[1]C.E.'!K326+[1]SAP!K326</f>
        <v>0</v>
      </c>
      <c r="L326" s="34">
        <f>[1]FPG!L326+'[1]C.E.'!L326+[1]SAP!L326</f>
        <v>1000</v>
      </c>
      <c r="M326" s="34">
        <f>[1]FPG!M326+'[1]C.E.'!M326+[1]SAP!M326</f>
        <v>1000</v>
      </c>
      <c r="N326" s="34">
        <f>[1]FPG!N326+'[1]C.E.'!N326+[1]SAP!N326</f>
        <v>1000</v>
      </c>
      <c r="O326" s="34">
        <f>[1]FPG!O326+'[1]C.E.'!O326+[1]SAP!O326</f>
        <v>1000</v>
      </c>
      <c r="P326" s="34">
        <f>[1]FPG!P326+'[1]C.E.'!P326+[1]SAP!P326</f>
        <v>1000</v>
      </c>
      <c r="Q326" s="34">
        <f>[1]FPG!Q326+'[1]C.E.'!Q326+[1]SAP!Q326</f>
        <v>1000</v>
      </c>
      <c r="R326" s="27"/>
      <c r="S326" s="35">
        <f t="shared" si="45"/>
        <v>6000</v>
      </c>
      <c r="T326" s="36">
        <f t="shared" si="52"/>
        <v>5.1263941207101659E-4</v>
      </c>
      <c r="V326" s="21">
        <f>S326-[1]FPG!S326-'[1]C.E.'!S326</f>
        <v>0</v>
      </c>
      <c r="W326" s="22"/>
    </row>
    <row r="327" spans="1:23" outlineLevel="1" x14ac:dyDescent="0.2">
      <c r="A327" s="9"/>
      <c r="B327" s="48"/>
      <c r="C327" s="31">
        <v>400221</v>
      </c>
      <c r="D327" s="32" t="s">
        <v>310</v>
      </c>
      <c r="E327" s="33"/>
      <c r="F327" s="34">
        <f>[1]FPG!F327+'[1]C.E.'!F327+[1]SAP!F327</f>
        <v>0</v>
      </c>
      <c r="G327" s="34">
        <f>[1]FPG!G327+'[1]C.E.'!G327+[1]SAP!G327</f>
        <v>0</v>
      </c>
      <c r="H327" s="34">
        <f>[1]FPG!H327+'[1]C.E.'!H327+[1]SAP!H327</f>
        <v>30000</v>
      </c>
      <c r="I327" s="34">
        <f>[1]FPG!I327+'[1]C.E.'!I327+[1]SAP!I327</f>
        <v>0</v>
      </c>
      <c r="J327" s="34">
        <f>[1]FPG!J327+'[1]C.E.'!J327+[1]SAP!J327</f>
        <v>0</v>
      </c>
      <c r="K327" s="34">
        <f>[1]FPG!K327+'[1]C.E.'!K327+[1]SAP!K327</f>
        <v>0</v>
      </c>
      <c r="L327" s="34">
        <f>[1]FPG!L327+'[1]C.E.'!L327+[1]SAP!L327</f>
        <v>0</v>
      </c>
      <c r="M327" s="34">
        <f>[1]FPG!M327+'[1]C.E.'!M327+[1]SAP!M327</f>
        <v>0</v>
      </c>
      <c r="N327" s="34">
        <f>[1]FPG!N327+'[1]C.E.'!N327+[1]SAP!N327</f>
        <v>0</v>
      </c>
      <c r="O327" s="34">
        <f>[1]FPG!O327+'[1]C.E.'!O327+[1]SAP!O327</f>
        <v>0</v>
      </c>
      <c r="P327" s="34">
        <f>[1]FPG!P327+'[1]C.E.'!P327+[1]SAP!P327</f>
        <v>0</v>
      </c>
      <c r="Q327" s="34">
        <f>[1]FPG!Q327+'[1]C.E.'!Q327+[1]SAP!Q327</f>
        <v>0</v>
      </c>
      <c r="R327" s="27"/>
      <c r="S327" s="35">
        <f t="shared" si="45"/>
        <v>30000</v>
      </c>
      <c r="T327" s="36">
        <f t="shared" si="52"/>
        <v>2.563197060355083E-3</v>
      </c>
      <c r="V327" s="21">
        <f>S327-[1]FPG!S327-'[1]C.E.'!S327</f>
        <v>0</v>
      </c>
      <c r="W327" s="22"/>
    </row>
    <row r="328" spans="1:23" hidden="1" outlineLevel="1" x14ac:dyDescent="0.2">
      <c r="A328" s="9"/>
      <c r="B328" s="48"/>
      <c r="C328" s="31">
        <v>400222</v>
      </c>
      <c r="D328" s="32" t="s">
        <v>311</v>
      </c>
      <c r="E328" s="33"/>
      <c r="F328" s="34">
        <f>[1]FPG!F328+'[1]C.E.'!F328+[1]SAP!F328</f>
        <v>0</v>
      </c>
      <c r="G328" s="34">
        <f>[1]FPG!G328+'[1]C.E.'!G328+[1]SAP!G328</f>
        <v>0</v>
      </c>
      <c r="H328" s="34">
        <f>[1]FPG!H328+'[1]C.E.'!H328+[1]SAP!H328</f>
        <v>0</v>
      </c>
      <c r="I328" s="34">
        <f>[1]FPG!I328+'[1]C.E.'!I328+[1]SAP!I328</f>
        <v>0</v>
      </c>
      <c r="J328" s="34">
        <f>[1]FPG!J328+'[1]C.E.'!J328+[1]SAP!J328</f>
        <v>0</v>
      </c>
      <c r="K328" s="34">
        <f>[1]FPG!K328+'[1]C.E.'!K328+[1]SAP!K328</f>
        <v>0</v>
      </c>
      <c r="L328" s="34">
        <f>[1]FPG!L328+'[1]C.E.'!L328+[1]SAP!L328</f>
        <v>0</v>
      </c>
      <c r="M328" s="34">
        <f>[1]FPG!M328+'[1]C.E.'!M328+[1]SAP!M328</f>
        <v>0</v>
      </c>
      <c r="N328" s="34">
        <f>[1]FPG!N328+'[1]C.E.'!N328+[1]SAP!N328</f>
        <v>0</v>
      </c>
      <c r="O328" s="34">
        <f>[1]FPG!O328+'[1]C.E.'!O328+[1]SAP!O328</f>
        <v>0</v>
      </c>
      <c r="P328" s="34">
        <f>[1]FPG!P328+'[1]C.E.'!P328+[1]SAP!P328</f>
        <v>0</v>
      </c>
      <c r="Q328" s="34">
        <f>[1]FPG!Q328+'[1]C.E.'!Q328+[1]SAP!Q328</f>
        <v>0</v>
      </c>
      <c r="R328" s="27"/>
      <c r="S328" s="35">
        <f t="shared" si="45"/>
        <v>0</v>
      </c>
      <c r="T328" s="36">
        <f t="shared" si="52"/>
        <v>0</v>
      </c>
      <c r="V328" s="21">
        <f>S328-[1]FPG!S328-'[1]C.E.'!S328</f>
        <v>0</v>
      </c>
      <c r="W328" s="22"/>
    </row>
    <row r="329" spans="1:23" hidden="1" outlineLevel="1" x14ac:dyDescent="0.2">
      <c r="A329" s="9"/>
      <c r="B329" s="48"/>
      <c r="C329" s="31">
        <v>400223</v>
      </c>
      <c r="D329" s="32" t="s">
        <v>312</v>
      </c>
      <c r="E329" s="33"/>
      <c r="F329" s="34">
        <f>[1]FPG!F329+'[1]C.E.'!F329+[1]SAP!F329</f>
        <v>0</v>
      </c>
      <c r="G329" s="34">
        <f>[1]FPG!G329+'[1]C.E.'!G329+[1]SAP!G329</f>
        <v>0</v>
      </c>
      <c r="H329" s="34">
        <f>[1]FPG!H329+'[1]C.E.'!H329+[1]SAP!H329</f>
        <v>0</v>
      </c>
      <c r="I329" s="34">
        <f>[1]FPG!I329+'[1]C.E.'!I329+[1]SAP!I329</f>
        <v>0</v>
      </c>
      <c r="J329" s="34">
        <f>[1]FPG!J329+'[1]C.E.'!J329+[1]SAP!J329</f>
        <v>0</v>
      </c>
      <c r="K329" s="34">
        <f>[1]FPG!K329+'[1]C.E.'!K329+[1]SAP!K329</f>
        <v>0</v>
      </c>
      <c r="L329" s="34">
        <f>[1]FPG!L329+'[1]C.E.'!L329+[1]SAP!L329</f>
        <v>0</v>
      </c>
      <c r="M329" s="34">
        <f>[1]FPG!M329+'[1]C.E.'!M329+[1]SAP!M329</f>
        <v>0</v>
      </c>
      <c r="N329" s="34">
        <f>[1]FPG!N329+'[1]C.E.'!N329+[1]SAP!N329</f>
        <v>0</v>
      </c>
      <c r="O329" s="34">
        <f>[1]FPG!O329+'[1]C.E.'!O329+[1]SAP!O329</f>
        <v>0</v>
      </c>
      <c r="P329" s="34">
        <f>[1]FPG!P329+'[1]C.E.'!P329+[1]SAP!P329</f>
        <v>0</v>
      </c>
      <c r="Q329" s="34">
        <f>[1]FPG!Q329+'[1]C.E.'!Q329+[1]SAP!Q329</f>
        <v>0</v>
      </c>
      <c r="R329" s="27"/>
      <c r="S329" s="35">
        <f t="shared" si="45"/>
        <v>0</v>
      </c>
      <c r="T329" s="36">
        <f t="shared" si="52"/>
        <v>0</v>
      </c>
      <c r="V329" s="21">
        <f>S329-[1]FPG!S329-'[1]C.E.'!S329</f>
        <v>0</v>
      </c>
      <c r="W329" s="22"/>
    </row>
    <row r="330" spans="1:23" hidden="1" outlineLevel="1" x14ac:dyDescent="0.2">
      <c r="A330" s="9"/>
      <c r="B330" s="48"/>
      <c r="C330" s="31">
        <v>400224</v>
      </c>
      <c r="D330" s="32" t="s">
        <v>313</v>
      </c>
      <c r="E330" s="33"/>
      <c r="F330" s="34">
        <f>[1]FPG!F330+'[1]C.E.'!F330+[1]SAP!F330</f>
        <v>0</v>
      </c>
      <c r="G330" s="34">
        <f>[1]FPG!G330+'[1]C.E.'!G330+[1]SAP!G330</f>
        <v>0</v>
      </c>
      <c r="H330" s="34">
        <f>[1]FPG!H330+'[1]C.E.'!H330+[1]SAP!H330</f>
        <v>0</v>
      </c>
      <c r="I330" s="34">
        <f>[1]FPG!I330+'[1]C.E.'!I330+[1]SAP!I330</f>
        <v>0</v>
      </c>
      <c r="J330" s="34">
        <f>[1]FPG!J330+'[1]C.E.'!J330+[1]SAP!J330</f>
        <v>0</v>
      </c>
      <c r="K330" s="34">
        <f>[1]FPG!K330+'[1]C.E.'!K330+[1]SAP!K330</f>
        <v>0</v>
      </c>
      <c r="L330" s="34">
        <f>[1]FPG!L330+'[1]C.E.'!L330+[1]SAP!L330</f>
        <v>0</v>
      </c>
      <c r="M330" s="34">
        <f>[1]FPG!M330+'[1]C.E.'!M330+[1]SAP!M330</f>
        <v>0</v>
      </c>
      <c r="N330" s="34">
        <f>[1]FPG!N330+'[1]C.E.'!N330+[1]SAP!N330</f>
        <v>0</v>
      </c>
      <c r="O330" s="34">
        <f>[1]FPG!O330+'[1]C.E.'!O330+[1]SAP!O330</f>
        <v>0</v>
      </c>
      <c r="P330" s="34">
        <f>[1]FPG!P330+'[1]C.E.'!P330+[1]SAP!P330</f>
        <v>0</v>
      </c>
      <c r="Q330" s="34">
        <f>[1]FPG!Q330+'[1]C.E.'!Q330+[1]SAP!Q330</f>
        <v>0</v>
      </c>
      <c r="R330" s="27"/>
      <c r="S330" s="35">
        <f t="shared" si="45"/>
        <v>0</v>
      </c>
      <c r="T330" s="36">
        <f t="shared" si="52"/>
        <v>0</v>
      </c>
      <c r="V330" s="21">
        <f>S330-[1]FPG!S330-'[1]C.E.'!S330</f>
        <v>0</v>
      </c>
      <c r="W330" s="22"/>
    </row>
    <row r="331" spans="1:23" hidden="1" outlineLevel="1" x14ac:dyDescent="0.2">
      <c r="A331" s="9"/>
      <c r="B331" s="48"/>
      <c r="C331" s="31">
        <v>400225</v>
      </c>
      <c r="D331" s="32" t="s">
        <v>314</v>
      </c>
      <c r="E331" s="33"/>
      <c r="F331" s="34">
        <f>[1]FPG!F331+'[1]C.E.'!F331+[1]SAP!F331</f>
        <v>0</v>
      </c>
      <c r="G331" s="34">
        <f>[1]FPG!G331+'[1]C.E.'!G331+[1]SAP!G331</f>
        <v>0</v>
      </c>
      <c r="H331" s="34">
        <f>[1]FPG!H331+'[1]C.E.'!H331+[1]SAP!H331</f>
        <v>0</v>
      </c>
      <c r="I331" s="34">
        <f>[1]FPG!I331+'[1]C.E.'!I331+[1]SAP!I331</f>
        <v>0</v>
      </c>
      <c r="J331" s="34">
        <f>[1]FPG!J331+'[1]C.E.'!J331+[1]SAP!J331</f>
        <v>0</v>
      </c>
      <c r="K331" s="34">
        <f>[1]FPG!K331+'[1]C.E.'!K331+[1]SAP!K331</f>
        <v>0</v>
      </c>
      <c r="L331" s="34">
        <f>[1]FPG!L331+'[1]C.E.'!L331+[1]SAP!L331</f>
        <v>0</v>
      </c>
      <c r="M331" s="34">
        <f>[1]FPG!M331+'[1]C.E.'!M331+[1]SAP!M331</f>
        <v>0</v>
      </c>
      <c r="N331" s="34">
        <f>[1]FPG!N331+'[1]C.E.'!N331+[1]SAP!N331</f>
        <v>0</v>
      </c>
      <c r="O331" s="34">
        <f>[1]FPG!O331+'[1]C.E.'!O331+[1]SAP!O331</f>
        <v>0</v>
      </c>
      <c r="P331" s="34">
        <f>[1]FPG!P331+'[1]C.E.'!P331+[1]SAP!P331</f>
        <v>0</v>
      </c>
      <c r="Q331" s="34">
        <f>[1]FPG!Q331+'[1]C.E.'!Q331+[1]SAP!Q331</f>
        <v>0</v>
      </c>
      <c r="R331" s="27"/>
      <c r="S331" s="35">
        <f t="shared" si="45"/>
        <v>0</v>
      </c>
      <c r="T331" s="36">
        <f t="shared" si="52"/>
        <v>0</v>
      </c>
      <c r="V331" s="21">
        <f>S331-[1]FPG!S331-'[1]C.E.'!S331</f>
        <v>0</v>
      </c>
      <c r="W331" s="22"/>
    </row>
    <row r="332" spans="1:23" hidden="1" outlineLevel="1" x14ac:dyDescent="0.2">
      <c r="A332" s="9"/>
      <c r="B332" s="48"/>
      <c r="C332" s="31">
        <v>400226</v>
      </c>
      <c r="D332" s="32" t="s">
        <v>315</v>
      </c>
      <c r="E332" s="33"/>
      <c r="F332" s="34">
        <f>[1]FPG!F332+'[1]C.E.'!F332+[1]SAP!F332</f>
        <v>0</v>
      </c>
      <c r="G332" s="34">
        <f>[1]FPG!G332+'[1]C.E.'!G332+[1]SAP!G332</f>
        <v>0</v>
      </c>
      <c r="H332" s="34">
        <f>[1]FPG!H332+'[1]C.E.'!H332+[1]SAP!H332</f>
        <v>0</v>
      </c>
      <c r="I332" s="34">
        <f>[1]FPG!I332+'[1]C.E.'!I332+[1]SAP!I332</f>
        <v>0</v>
      </c>
      <c r="J332" s="34">
        <f>[1]FPG!J332+'[1]C.E.'!J332+[1]SAP!J332</f>
        <v>0</v>
      </c>
      <c r="K332" s="34">
        <f>[1]FPG!K332+'[1]C.E.'!K332+[1]SAP!K332</f>
        <v>0</v>
      </c>
      <c r="L332" s="34">
        <f>[1]FPG!L332+'[1]C.E.'!L332+[1]SAP!L332</f>
        <v>0</v>
      </c>
      <c r="M332" s="34">
        <f>[1]FPG!M332+'[1]C.E.'!M332+[1]SAP!M332</f>
        <v>0</v>
      </c>
      <c r="N332" s="34">
        <f>[1]FPG!N332+'[1]C.E.'!N332+[1]SAP!N332</f>
        <v>0</v>
      </c>
      <c r="O332" s="34">
        <f>[1]FPG!O332+'[1]C.E.'!O332+[1]SAP!O332</f>
        <v>0</v>
      </c>
      <c r="P332" s="34">
        <f>[1]FPG!P332+'[1]C.E.'!P332+[1]SAP!P332</f>
        <v>0</v>
      </c>
      <c r="Q332" s="34">
        <f>[1]FPG!Q332+'[1]C.E.'!Q332+[1]SAP!Q332</f>
        <v>0</v>
      </c>
      <c r="R332" s="27"/>
      <c r="S332" s="35">
        <f t="shared" si="45"/>
        <v>0</v>
      </c>
      <c r="T332" s="36">
        <f t="shared" si="52"/>
        <v>0</v>
      </c>
      <c r="V332" s="21">
        <f>S332-[1]FPG!S332-'[1]C.E.'!S332</f>
        <v>0</v>
      </c>
      <c r="W332" s="22"/>
    </row>
    <row r="333" spans="1:23" hidden="1" outlineLevel="1" x14ac:dyDescent="0.2">
      <c r="A333" s="9"/>
      <c r="B333" s="48"/>
      <c r="C333" s="31">
        <v>400227</v>
      </c>
      <c r="D333" s="32" t="s">
        <v>316</v>
      </c>
      <c r="E333" s="33"/>
      <c r="F333" s="34">
        <f>[1]FPG!F333+'[1]C.E.'!F333+[1]SAP!F333</f>
        <v>0</v>
      </c>
      <c r="G333" s="34">
        <f>[1]FPG!G333+'[1]C.E.'!G333+[1]SAP!G333</f>
        <v>0</v>
      </c>
      <c r="H333" s="34">
        <f>[1]FPG!H333+'[1]C.E.'!H333+[1]SAP!H333</f>
        <v>0</v>
      </c>
      <c r="I333" s="34">
        <f>[1]FPG!I333+'[1]C.E.'!I333+[1]SAP!I333</f>
        <v>0</v>
      </c>
      <c r="J333" s="34">
        <f>[1]FPG!J333+'[1]C.E.'!J333+[1]SAP!J333</f>
        <v>0</v>
      </c>
      <c r="K333" s="34">
        <f>[1]FPG!K333+'[1]C.E.'!K333+[1]SAP!K333</f>
        <v>0</v>
      </c>
      <c r="L333" s="34">
        <f>[1]FPG!L333+'[1]C.E.'!L333+[1]SAP!L333</f>
        <v>0</v>
      </c>
      <c r="M333" s="34">
        <f>[1]FPG!M333+'[1]C.E.'!M333+[1]SAP!M333</f>
        <v>0</v>
      </c>
      <c r="N333" s="34">
        <f>[1]FPG!N333+'[1]C.E.'!N333+[1]SAP!N333</f>
        <v>0</v>
      </c>
      <c r="O333" s="34">
        <f>[1]FPG!O333+'[1]C.E.'!O333+[1]SAP!O333</f>
        <v>0</v>
      </c>
      <c r="P333" s="34">
        <f>[1]FPG!P333+'[1]C.E.'!P333+[1]SAP!P333</f>
        <v>0</v>
      </c>
      <c r="Q333" s="34">
        <f>[1]FPG!Q333+'[1]C.E.'!Q333+[1]SAP!Q333</f>
        <v>0</v>
      </c>
      <c r="R333" s="27"/>
      <c r="S333" s="35">
        <f t="shared" si="45"/>
        <v>0</v>
      </c>
      <c r="T333" s="36">
        <f t="shared" si="52"/>
        <v>0</v>
      </c>
      <c r="V333" s="21">
        <f>S333-[1]FPG!S333-'[1]C.E.'!S333</f>
        <v>0</v>
      </c>
      <c r="W333" s="22"/>
    </row>
    <row r="334" spans="1:23" hidden="1" outlineLevel="1" x14ac:dyDescent="0.2">
      <c r="A334" s="9"/>
      <c r="B334" s="48"/>
      <c r="C334" s="31">
        <v>400228</v>
      </c>
      <c r="D334" s="32" t="s">
        <v>317</v>
      </c>
      <c r="E334" s="33"/>
      <c r="F334" s="34">
        <f>[1]FPG!F334+'[1]C.E.'!F334+[1]SAP!F334</f>
        <v>0</v>
      </c>
      <c r="G334" s="34">
        <f>[1]FPG!G334+'[1]C.E.'!G334+[1]SAP!G334</f>
        <v>0</v>
      </c>
      <c r="H334" s="34">
        <f>[1]FPG!H334+'[1]C.E.'!H334+[1]SAP!H334</f>
        <v>0</v>
      </c>
      <c r="I334" s="34">
        <f>[1]FPG!I334+'[1]C.E.'!I334+[1]SAP!I334</f>
        <v>0</v>
      </c>
      <c r="J334" s="34">
        <f>[1]FPG!J334+'[1]C.E.'!J334+[1]SAP!J334</f>
        <v>0</v>
      </c>
      <c r="K334" s="34">
        <f>[1]FPG!K334+'[1]C.E.'!K334+[1]SAP!K334</f>
        <v>0</v>
      </c>
      <c r="L334" s="34">
        <f>[1]FPG!L334+'[1]C.E.'!L334+[1]SAP!L334</f>
        <v>0</v>
      </c>
      <c r="M334" s="34">
        <f>[1]FPG!M334+'[1]C.E.'!M334+[1]SAP!M334</f>
        <v>0</v>
      </c>
      <c r="N334" s="34">
        <f>[1]FPG!N334+'[1]C.E.'!N334+[1]SAP!N334</f>
        <v>0</v>
      </c>
      <c r="O334" s="34">
        <f>[1]FPG!O334+'[1]C.E.'!O334+[1]SAP!O334</f>
        <v>0</v>
      </c>
      <c r="P334" s="34">
        <f>[1]FPG!P334+'[1]C.E.'!P334+[1]SAP!P334</f>
        <v>0</v>
      </c>
      <c r="Q334" s="34">
        <f>[1]FPG!Q334+'[1]C.E.'!Q334+[1]SAP!Q334</f>
        <v>0</v>
      </c>
      <c r="R334" s="27"/>
      <c r="S334" s="35">
        <f t="shared" si="45"/>
        <v>0</v>
      </c>
      <c r="T334" s="36">
        <f t="shared" si="52"/>
        <v>0</v>
      </c>
      <c r="V334" s="21">
        <f>S334-[1]FPG!S334-'[1]C.E.'!S334</f>
        <v>0</v>
      </c>
      <c r="W334" s="22"/>
    </row>
    <row r="335" spans="1:23" outlineLevel="1" x14ac:dyDescent="0.2">
      <c r="A335" s="9"/>
      <c r="B335" s="48"/>
      <c r="C335" s="31">
        <v>400229</v>
      </c>
      <c r="D335" s="32" t="s">
        <v>318</v>
      </c>
      <c r="E335" s="33"/>
      <c r="F335" s="34">
        <f>[1]FPG!F335+'[1]C.E.'!F335+[1]SAP!F335</f>
        <v>2500</v>
      </c>
      <c r="G335" s="34">
        <f>[1]FPG!G335+'[1]C.E.'!G335+[1]SAP!G335</f>
        <v>2500</v>
      </c>
      <c r="H335" s="34">
        <f>[1]FPG!H335+'[1]C.E.'!H335+[1]SAP!H335</f>
        <v>2500</v>
      </c>
      <c r="I335" s="34">
        <f>[1]FPG!I335+'[1]C.E.'!I335+[1]SAP!I335</f>
        <v>2500</v>
      </c>
      <c r="J335" s="34">
        <f>[1]FPG!J335+'[1]C.E.'!J335+[1]SAP!J335</f>
        <v>2500</v>
      </c>
      <c r="K335" s="34">
        <f>[1]FPG!K335+'[1]C.E.'!K335+[1]SAP!K335</f>
        <v>2500</v>
      </c>
      <c r="L335" s="34">
        <f>[1]FPG!L335+'[1]C.E.'!L335+[1]SAP!L335</f>
        <v>2500</v>
      </c>
      <c r="M335" s="34">
        <f>[1]FPG!M335+'[1]C.E.'!M335+[1]SAP!M335</f>
        <v>2500</v>
      </c>
      <c r="N335" s="34">
        <f>[1]FPG!N335+'[1]C.E.'!N335+[1]SAP!N335</f>
        <v>2500</v>
      </c>
      <c r="O335" s="34">
        <f>[1]FPG!O335+'[1]C.E.'!O335+[1]SAP!O335</f>
        <v>2500</v>
      </c>
      <c r="P335" s="34">
        <f>[1]FPG!P335+'[1]C.E.'!P335+[1]SAP!P335</f>
        <v>2500</v>
      </c>
      <c r="Q335" s="34">
        <f>[1]FPG!Q335+'[1]C.E.'!Q335+[1]SAP!Q335</f>
        <v>2500</v>
      </c>
      <c r="R335" s="27"/>
      <c r="S335" s="35">
        <f t="shared" si="45"/>
        <v>30000</v>
      </c>
      <c r="T335" s="36">
        <f t="shared" si="52"/>
        <v>2.563197060355083E-3</v>
      </c>
      <c r="V335" s="21">
        <f>S335-[1]FPG!S335-'[1]C.E.'!S335</f>
        <v>0</v>
      </c>
      <c r="W335" s="22"/>
    </row>
    <row r="336" spans="1:23" outlineLevel="1" x14ac:dyDescent="0.2">
      <c r="A336" s="9"/>
      <c r="B336" s="48"/>
      <c r="C336" s="31">
        <v>400230</v>
      </c>
      <c r="D336" s="32" t="s">
        <v>201</v>
      </c>
      <c r="E336" s="33"/>
      <c r="F336" s="34">
        <f>[1]FPG!F336+'[1]C.E.'!F336+[1]SAP!F336</f>
        <v>3150</v>
      </c>
      <c r="G336" s="34">
        <f>[1]FPG!G336+'[1]C.E.'!G336+[1]SAP!G336</f>
        <v>3150</v>
      </c>
      <c r="H336" s="34">
        <f>[1]FPG!H336+'[1]C.E.'!H336+[1]SAP!H336</f>
        <v>3150</v>
      </c>
      <c r="I336" s="34">
        <f>[1]FPG!I336+'[1]C.E.'!I336+[1]SAP!I336</f>
        <v>3150</v>
      </c>
      <c r="J336" s="34">
        <f>[1]FPG!J336+'[1]C.E.'!J336+[1]SAP!J336</f>
        <v>3150</v>
      </c>
      <c r="K336" s="34">
        <f>[1]FPG!K336+'[1]C.E.'!K336+[1]SAP!K336</f>
        <v>3150</v>
      </c>
      <c r="L336" s="34">
        <f>[1]FPG!L336+'[1]C.E.'!L336+[1]SAP!L336</f>
        <v>3150</v>
      </c>
      <c r="M336" s="34">
        <f>[1]FPG!M336+'[1]C.E.'!M336+[1]SAP!M336</f>
        <v>3150</v>
      </c>
      <c r="N336" s="34">
        <f>[1]FPG!N336+'[1]C.E.'!N336+[1]SAP!N336</f>
        <v>3150</v>
      </c>
      <c r="O336" s="34">
        <f>[1]FPG!O336+'[1]C.E.'!O336+[1]SAP!O336</f>
        <v>3150</v>
      </c>
      <c r="P336" s="34">
        <f>[1]FPG!P336+'[1]C.E.'!P336+[1]SAP!P336</f>
        <v>3150</v>
      </c>
      <c r="Q336" s="34">
        <f>[1]FPG!Q336+'[1]C.E.'!Q336+[1]SAP!Q336</f>
        <v>3150</v>
      </c>
      <c r="R336" s="27"/>
      <c r="S336" s="35">
        <f t="shared" si="45"/>
        <v>37800</v>
      </c>
      <c r="T336" s="36">
        <f t="shared" si="52"/>
        <v>3.2296282960474045E-3</v>
      </c>
      <c r="V336" s="21">
        <f>S336-[1]FPG!S336-'[1]C.E.'!S336</f>
        <v>0</v>
      </c>
      <c r="W336" s="22"/>
    </row>
    <row r="337" spans="1:23" hidden="1" outlineLevel="1" x14ac:dyDescent="0.2">
      <c r="A337" s="9"/>
      <c r="B337" s="48"/>
      <c r="C337" s="31">
        <v>400231</v>
      </c>
      <c r="D337" s="32" t="s">
        <v>319</v>
      </c>
      <c r="E337" s="33"/>
      <c r="F337" s="34">
        <f>[1]FPG!F337+'[1]C.E.'!F337+[1]SAP!F337</f>
        <v>0</v>
      </c>
      <c r="G337" s="34">
        <f>[1]FPG!G337+'[1]C.E.'!G337+[1]SAP!G337</f>
        <v>0</v>
      </c>
      <c r="H337" s="34">
        <f>[1]FPG!H337+'[1]C.E.'!H337+[1]SAP!H337</f>
        <v>0</v>
      </c>
      <c r="I337" s="34">
        <f>[1]FPG!I337+'[1]C.E.'!I337+[1]SAP!I337</f>
        <v>0</v>
      </c>
      <c r="J337" s="34">
        <f>[1]FPG!J337+'[1]C.E.'!J337+[1]SAP!J337</f>
        <v>0</v>
      </c>
      <c r="K337" s="34">
        <f>[1]FPG!K337+'[1]C.E.'!K337+[1]SAP!K337</f>
        <v>0</v>
      </c>
      <c r="L337" s="34">
        <f>[1]FPG!L337+'[1]C.E.'!L337+[1]SAP!L337</f>
        <v>0</v>
      </c>
      <c r="M337" s="34">
        <f>[1]FPG!M337+'[1]C.E.'!M337+[1]SAP!M337</f>
        <v>0</v>
      </c>
      <c r="N337" s="34">
        <f>[1]FPG!N337+'[1]C.E.'!N337+[1]SAP!N337</f>
        <v>0</v>
      </c>
      <c r="O337" s="34">
        <f>[1]FPG!O337+'[1]C.E.'!O337+[1]SAP!O337</f>
        <v>0</v>
      </c>
      <c r="P337" s="34">
        <f>[1]FPG!P337+'[1]C.E.'!P337+[1]SAP!P337</f>
        <v>0</v>
      </c>
      <c r="Q337" s="34">
        <f>[1]FPG!Q337+'[1]C.E.'!Q337+[1]SAP!Q337</f>
        <v>0</v>
      </c>
      <c r="R337" s="27"/>
      <c r="S337" s="35">
        <f t="shared" si="45"/>
        <v>0</v>
      </c>
      <c r="T337" s="36">
        <f t="shared" si="52"/>
        <v>0</v>
      </c>
      <c r="V337" s="21">
        <f>S337-[1]FPG!S337-'[1]C.E.'!S337</f>
        <v>0</v>
      </c>
      <c r="W337" s="22"/>
    </row>
    <row r="338" spans="1:23" hidden="1" outlineLevel="1" x14ac:dyDescent="0.2">
      <c r="A338" s="9"/>
      <c r="B338" s="48"/>
      <c r="C338" s="31">
        <v>400232</v>
      </c>
      <c r="D338" s="32" t="s">
        <v>320</v>
      </c>
      <c r="E338" s="33"/>
      <c r="F338" s="34">
        <f>[1]FPG!F338+'[1]C.E.'!F338+[1]SAP!F338</f>
        <v>0</v>
      </c>
      <c r="G338" s="34">
        <f>[1]FPG!G338+'[1]C.E.'!G338+[1]SAP!G338</f>
        <v>0</v>
      </c>
      <c r="H338" s="34">
        <f>[1]FPG!H338+'[1]C.E.'!H338+[1]SAP!H338</f>
        <v>0</v>
      </c>
      <c r="I338" s="34">
        <f>[1]FPG!I338+'[1]C.E.'!I338+[1]SAP!I338</f>
        <v>0</v>
      </c>
      <c r="J338" s="34">
        <f>[1]FPG!J338+'[1]C.E.'!J338+[1]SAP!J338</f>
        <v>0</v>
      </c>
      <c r="K338" s="34">
        <f>[1]FPG!K338+'[1]C.E.'!K338+[1]SAP!K338</f>
        <v>0</v>
      </c>
      <c r="L338" s="34">
        <f>[1]FPG!L338+'[1]C.E.'!L338+[1]SAP!L338</f>
        <v>0</v>
      </c>
      <c r="M338" s="34">
        <f>[1]FPG!M338+'[1]C.E.'!M338+[1]SAP!M338</f>
        <v>0</v>
      </c>
      <c r="N338" s="34">
        <f>[1]FPG!N338+'[1]C.E.'!N338+[1]SAP!N338</f>
        <v>0</v>
      </c>
      <c r="O338" s="34">
        <f>[1]FPG!O338+'[1]C.E.'!O338+[1]SAP!O338</f>
        <v>0</v>
      </c>
      <c r="P338" s="34">
        <f>[1]FPG!P338+'[1]C.E.'!P338+[1]SAP!P338</f>
        <v>0</v>
      </c>
      <c r="Q338" s="34">
        <f>[1]FPG!Q338+'[1]C.E.'!Q338+[1]SAP!Q338</f>
        <v>0</v>
      </c>
      <c r="R338" s="27"/>
      <c r="S338" s="35">
        <f t="shared" si="45"/>
        <v>0</v>
      </c>
      <c r="T338" s="36">
        <f t="shared" si="52"/>
        <v>0</v>
      </c>
      <c r="V338" s="21">
        <f>S338-[1]FPG!S338-'[1]C.E.'!S338</f>
        <v>0</v>
      </c>
      <c r="W338" s="22"/>
    </row>
    <row r="339" spans="1:23" hidden="1" outlineLevel="1" x14ac:dyDescent="0.2">
      <c r="A339" s="9"/>
      <c r="B339" s="48"/>
      <c r="C339" s="31">
        <v>400233</v>
      </c>
      <c r="D339" s="32" t="s">
        <v>321</v>
      </c>
      <c r="E339" s="33"/>
      <c r="F339" s="34">
        <f>[1]FPG!F339+'[1]C.E.'!F339+[1]SAP!F339</f>
        <v>0</v>
      </c>
      <c r="G339" s="34">
        <f>[1]FPG!G339+'[1]C.E.'!G339+[1]SAP!G339</f>
        <v>0</v>
      </c>
      <c r="H339" s="34">
        <f>[1]FPG!H339+'[1]C.E.'!H339+[1]SAP!H339</f>
        <v>0</v>
      </c>
      <c r="I339" s="34">
        <f>[1]FPG!I339+'[1]C.E.'!I339+[1]SAP!I339</f>
        <v>0</v>
      </c>
      <c r="J339" s="34">
        <f>[1]FPG!J339+'[1]C.E.'!J339+[1]SAP!J339</f>
        <v>0</v>
      </c>
      <c r="K339" s="34">
        <f>[1]FPG!K339+'[1]C.E.'!K339+[1]SAP!K339</f>
        <v>0</v>
      </c>
      <c r="L339" s="34">
        <f>[1]FPG!L339+'[1]C.E.'!L339+[1]SAP!L339</f>
        <v>0</v>
      </c>
      <c r="M339" s="34">
        <f>[1]FPG!M339+'[1]C.E.'!M339+[1]SAP!M339</f>
        <v>0</v>
      </c>
      <c r="N339" s="34">
        <f>[1]FPG!N339+'[1]C.E.'!N339+[1]SAP!N339</f>
        <v>0</v>
      </c>
      <c r="O339" s="34">
        <f>[1]FPG!O339+'[1]C.E.'!O339+[1]SAP!O339</f>
        <v>0</v>
      </c>
      <c r="P339" s="34">
        <f>[1]FPG!P339+'[1]C.E.'!P339+[1]SAP!P339</f>
        <v>0</v>
      </c>
      <c r="Q339" s="34">
        <f>[1]FPG!Q339+'[1]C.E.'!Q339+[1]SAP!Q339</f>
        <v>0</v>
      </c>
      <c r="R339" s="27"/>
      <c r="S339" s="35">
        <f t="shared" si="45"/>
        <v>0</v>
      </c>
      <c r="T339" s="36">
        <f t="shared" si="52"/>
        <v>0</v>
      </c>
      <c r="V339" s="21">
        <f>S339-[1]FPG!S339-'[1]C.E.'!S339</f>
        <v>0</v>
      </c>
      <c r="W339" s="22"/>
    </row>
    <row r="340" spans="1:23" hidden="1" outlineLevel="1" x14ac:dyDescent="0.2">
      <c r="A340" s="9"/>
      <c r="B340" s="48"/>
      <c r="C340" s="31">
        <v>400234</v>
      </c>
      <c r="D340" s="32" t="s">
        <v>322</v>
      </c>
      <c r="E340" s="33"/>
      <c r="F340" s="34">
        <f>[1]FPG!F340+'[1]C.E.'!F340+[1]SAP!F340</f>
        <v>0</v>
      </c>
      <c r="G340" s="34">
        <f>[1]FPG!G340+'[1]C.E.'!G340+[1]SAP!G340</f>
        <v>0</v>
      </c>
      <c r="H340" s="34">
        <f>[1]FPG!H340+'[1]C.E.'!H340+[1]SAP!H340</f>
        <v>0</v>
      </c>
      <c r="I340" s="34">
        <f>[1]FPG!I340+'[1]C.E.'!I340+[1]SAP!I340</f>
        <v>0</v>
      </c>
      <c r="J340" s="34">
        <f>[1]FPG!J340+'[1]C.E.'!J340+[1]SAP!J340</f>
        <v>0</v>
      </c>
      <c r="K340" s="34">
        <f>[1]FPG!K340+'[1]C.E.'!K340+[1]SAP!K340</f>
        <v>0</v>
      </c>
      <c r="L340" s="34">
        <f>[1]FPG!L340+'[1]C.E.'!L340+[1]SAP!L340</f>
        <v>0</v>
      </c>
      <c r="M340" s="34">
        <f>[1]FPG!M340+'[1]C.E.'!M340+[1]SAP!M340</f>
        <v>0</v>
      </c>
      <c r="N340" s="34">
        <f>[1]FPG!N340+'[1]C.E.'!N340+[1]SAP!N340</f>
        <v>0</v>
      </c>
      <c r="O340" s="34">
        <f>[1]FPG!O340+'[1]C.E.'!O340+[1]SAP!O340</f>
        <v>0</v>
      </c>
      <c r="P340" s="34">
        <f>[1]FPG!P340+'[1]C.E.'!P340+[1]SAP!P340</f>
        <v>0</v>
      </c>
      <c r="Q340" s="34">
        <f>[1]FPG!Q340+'[1]C.E.'!Q340+[1]SAP!Q340</f>
        <v>0</v>
      </c>
      <c r="R340" s="27"/>
      <c r="S340" s="35">
        <f t="shared" si="45"/>
        <v>0</v>
      </c>
      <c r="T340" s="36">
        <f t="shared" si="52"/>
        <v>0</v>
      </c>
      <c r="V340" s="21">
        <f>S340-[1]FPG!S340-'[1]C.E.'!S340</f>
        <v>0</v>
      </c>
      <c r="W340" s="22"/>
    </row>
    <row r="341" spans="1:23" outlineLevel="1" x14ac:dyDescent="0.2">
      <c r="A341" s="9"/>
      <c r="B341" s="48"/>
      <c r="C341" s="31">
        <v>400235</v>
      </c>
      <c r="D341" s="62" t="s">
        <v>202</v>
      </c>
      <c r="E341" s="33"/>
      <c r="F341" s="34">
        <f>[1]FPG!F341+'[1]C.E.'!F341+[1]SAP!F341</f>
        <v>0</v>
      </c>
      <c r="G341" s="34">
        <f>[1]FPG!G341+'[1]C.E.'!G341+[1]SAP!G341</f>
        <v>0</v>
      </c>
      <c r="H341" s="34">
        <f>[1]FPG!H341+'[1]C.E.'!H341+[1]SAP!H341</f>
        <v>30000</v>
      </c>
      <c r="I341" s="34">
        <f>[1]FPG!I341+'[1]C.E.'!I341+[1]SAP!I341</f>
        <v>0</v>
      </c>
      <c r="J341" s="34">
        <f>[1]FPG!J341+'[1]C.E.'!J341+[1]SAP!J341</f>
        <v>0</v>
      </c>
      <c r="K341" s="34">
        <f>[1]FPG!K341+'[1]C.E.'!K341+[1]SAP!K341</f>
        <v>0</v>
      </c>
      <c r="L341" s="34">
        <f>[1]FPG!L341+'[1]C.E.'!L341+[1]SAP!L341</f>
        <v>0</v>
      </c>
      <c r="M341" s="34">
        <f>[1]FPG!M341+'[1]C.E.'!M341+[1]SAP!M341</f>
        <v>0</v>
      </c>
      <c r="N341" s="34">
        <f>[1]FPG!N341+'[1]C.E.'!N341+[1]SAP!N341</f>
        <v>30000</v>
      </c>
      <c r="O341" s="34">
        <f>[1]FPG!O341+'[1]C.E.'!O341+[1]SAP!O341</f>
        <v>0</v>
      </c>
      <c r="P341" s="34">
        <f>[1]FPG!P341+'[1]C.E.'!P341+[1]SAP!P341</f>
        <v>0</v>
      </c>
      <c r="Q341" s="34">
        <f>[1]FPG!Q341+'[1]C.E.'!Q341+[1]SAP!Q341</f>
        <v>0</v>
      </c>
      <c r="R341" s="27"/>
      <c r="S341" s="35">
        <f t="shared" si="45"/>
        <v>60000</v>
      </c>
      <c r="T341" s="36">
        <f t="shared" si="52"/>
        <v>5.1263941207101661E-3</v>
      </c>
      <c r="V341" s="21">
        <f>S341-[1]FPG!S341-'[1]C.E.'!S341</f>
        <v>0</v>
      </c>
      <c r="W341" s="22"/>
    </row>
    <row r="342" spans="1:23" hidden="1" outlineLevel="1" x14ac:dyDescent="0.2">
      <c r="A342" s="9"/>
      <c r="B342" s="48"/>
      <c r="C342" s="31">
        <v>400302</v>
      </c>
      <c r="D342" s="32" t="s">
        <v>323</v>
      </c>
      <c r="E342" s="33"/>
      <c r="F342" s="34">
        <f>[1]FPG!F342+'[1]C.E.'!F342+[1]SAP!F342</f>
        <v>0</v>
      </c>
      <c r="G342" s="34">
        <f>[1]FPG!G342+'[1]C.E.'!G342+[1]SAP!G342</f>
        <v>0</v>
      </c>
      <c r="H342" s="34">
        <f>[1]FPG!H342+'[1]C.E.'!H342+[1]SAP!H342</f>
        <v>0</v>
      </c>
      <c r="I342" s="34">
        <f>[1]FPG!I342+'[1]C.E.'!I342+[1]SAP!I342</f>
        <v>0</v>
      </c>
      <c r="J342" s="34">
        <f>[1]FPG!J342+'[1]C.E.'!J342+[1]SAP!J342</f>
        <v>0</v>
      </c>
      <c r="K342" s="34">
        <f>[1]FPG!K342+'[1]C.E.'!K342+[1]SAP!K342</f>
        <v>0</v>
      </c>
      <c r="L342" s="34">
        <f>[1]FPG!L342+'[1]C.E.'!L342+[1]SAP!L342</f>
        <v>0</v>
      </c>
      <c r="M342" s="34">
        <f>[1]FPG!M342+'[1]C.E.'!M342+[1]SAP!M342</f>
        <v>0</v>
      </c>
      <c r="N342" s="34">
        <f>[1]FPG!N342+'[1]C.E.'!N342+[1]SAP!N342</f>
        <v>0</v>
      </c>
      <c r="O342" s="34">
        <f>[1]FPG!O342+'[1]C.E.'!O342+[1]SAP!O342</f>
        <v>0</v>
      </c>
      <c r="P342" s="34">
        <f>[1]FPG!P342+'[1]C.E.'!P342+[1]SAP!P342</f>
        <v>0</v>
      </c>
      <c r="Q342" s="34">
        <f>[1]FPG!Q342+'[1]C.E.'!Q342+[1]SAP!Q342</f>
        <v>0</v>
      </c>
      <c r="R342" s="27"/>
      <c r="S342" s="35">
        <f t="shared" si="45"/>
        <v>0</v>
      </c>
      <c r="T342" s="36">
        <f t="shared" si="52"/>
        <v>0</v>
      </c>
      <c r="V342" s="21">
        <f>S342-[1]FPG!S342-'[1]C.E.'!S342</f>
        <v>0</v>
      </c>
      <c r="W342" s="22"/>
    </row>
    <row r="343" spans="1:23" hidden="1" outlineLevel="1" x14ac:dyDescent="0.2">
      <c r="A343" s="9"/>
      <c r="B343" s="48"/>
      <c r="C343" s="31">
        <v>400306</v>
      </c>
      <c r="D343" s="32" t="s">
        <v>203</v>
      </c>
      <c r="E343" s="33"/>
      <c r="F343" s="34">
        <f>[1]FPG!F343+'[1]C.E.'!F343+[1]SAP!F343</f>
        <v>0</v>
      </c>
      <c r="G343" s="34">
        <f>[1]FPG!G343+'[1]C.E.'!G343+[1]SAP!G343</f>
        <v>0</v>
      </c>
      <c r="H343" s="34">
        <f>[1]FPG!H343+'[1]C.E.'!H343+[1]SAP!H343</f>
        <v>0</v>
      </c>
      <c r="I343" s="34">
        <f>[1]FPG!I343+'[1]C.E.'!I343+[1]SAP!I343</f>
        <v>0</v>
      </c>
      <c r="J343" s="34">
        <f>[1]FPG!J343+'[1]C.E.'!J343+[1]SAP!J343</f>
        <v>0</v>
      </c>
      <c r="K343" s="34">
        <f>[1]FPG!K343+'[1]C.E.'!K343+[1]SAP!K343</f>
        <v>0</v>
      </c>
      <c r="L343" s="34">
        <f>[1]FPG!L343+'[1]C.E.'!L343+[1]SAP!L343</f>
        <v>0</v>
      </c>
      <c r="M343" s="34">
        <f>[1]FPG!M343+'[1]C.E.'!M343+[1]SAP!M343</f>
        <v>0</v>
      </c>
      <c r="N343" s="34">
        <f>[1]FPG!N343+'[1]C.E.'!N343+[1]SAP!N343</f>
        <v>0</v>
      </c>
      <c r="O343" s="34">
        <f>[1]FPG!O343+'[1]C.E.'!O343+[1]SAP!O343</f>
        <v>0</v>
      </c>
      <c r="P343" s="34">
        <f>[1]FPG!P343+'[1]C.E.'!P343+[1]SAP!P343</f>
        <v>0</v>
      </c>
      <c r="Q343" s="34">
        <f>[1]FPG!Q343+'[1]C.E.'!Q343+[1]SAP!Q343</f>
        <v>0</v>
      </c>
      <c r="R343" s="27"/>
      <c r="S343" s="35">
        <f t="shared" si="45"/>
        <v>0</v>
      </c>
      <c r="T343" s="36">
        <f t="shared" si="52"/>
        <v>0</v>
      </c>
      <c r="V343" s="21">
        <f>S343-[1]FPG!S343-'[1]C.E.'!S343</f>
        <v>0</v>
      </c>
      <c r="W343" s="22"/>
    </row>
    <row r="344" spans="1:23" hidden="1" outlineLevel="1" x14ac:dyDescent="0.2">
      <c r="A344" s="9"/>
      <c r="B344" s="48"/>
      <c r="C344" s="31">
        <v>400307</v>
      </c>
      <c r="D344" s="32" t="s">
        <v>204</v>
      </c>
      <c r="E344" s="33"/>
      <c r="F344" s="34">
        <f>[1]FPG!F344+'[1]C.E.'!F344+[1]SAP!F344</f>
        <v>0</v>
      </c>
      <c r="G344" s="34">
        <f>[1]FPG!G344+'[1]C.E.'!G344+[1]SAP!G344</f>
        <v>0</v>
      </c>
      <c r="H344" s="34">
        <f>[1]FPG!H344+'[1]C.E.'!H344+[1]SAP!H344</f>
        <v>0</v>
      </c>
      <c r="I344" s="34">
        <f>[1]FPG!I344+'[1]C.E.'!I344+[1]SAP!I344</f>
        <v>0</v>
      </c>
      <c r="J344" s="34">
        <f>[1]FPG!J344+'[1]C.E.'!J344+[1]SAP!J344</f>
        <v>0</v>
      </c>
      <c r="K344" s="34">
        <f>[1]FPG!K344+'[1]C.E.'!K344+[1]SAP!K344</f>
        <v>0</v>
      </c>
      <c r="L344" s="34">
        <f>[1]FPG!L344+'[1]C.E.'!L344+[1]SAP!L344</f>
        <v>0</v>
      </c>
      <c r="M344" s="34">
        <f>[1]FPG!M344+'[1]C.E.'!M344+[1]SAP!M344</f>
        <v>0</v>
      </c>
      <c r="N344" s="34">
        <f>[1]FPG!N344+'[1]C.E.'!N344+[1]SAP!N344</f>
        <v>0</v>
      </c>
      <c r="O344" s="34">
        <f>[1]FPG!O344+'[1]C.E.'!O344+[1]SAP!O344</f>
        <v>0</v>
      </c>
      <c r="P344" s="34">
        <f>[1]FPG!P344+'[1]C.E.'!P344+[1]SAP!P344</f>
        <v>0</v>
      </c>
      <c r="Q344" s="34">
        <f>[1]FPG!Q344+'[1]C.E.'!Q344+[1]SAP!Q344</f>
        <v>0</v>
      </c>
      <c r="R344" s="27"/>
      <c r="S344" s="35">
        <f t="shared" si="45"/>
        <v>0</v>
      </c>
      <c r="T344" s="36">
        <f t="shared" si="52"/>
        <v>0</v>
      </c>
      <c r="V344" s="21">
        <f>S344-[1]FPG!S344-'[1]C.E.'!S344</f>
        <v>0</v>
      </c>
      <c r="W344" s="22"/>
    </row>
    <row r="345" spans="1:23" hidden="1" outlineLevel="1" x14ac:dyDescent="0.2">
      <c r="A345" s="9"/>
      <c r="B345" s="48"/>
      <c r="C345" s="31">
        <v>400311</v>
      </c>
      <c r="D345" s="32" t="s">
        <v>208</v>
      </c>
      <c r="E345" s="33"/>
      <c r="F345" s="34">
        <f>[1]FPG!F345+'[1]C.E.'!F345+[1]SAP!F345</f>
        <v>0</v>
      </c>
      <c r="G345" s="34">
        <f>[1]FPG!G345+'[1]C.E.'!G345+[1]SAP!G345</f>
        <v>0</v>
      </c>
      <c r="H345" s="34">
        <f>[1]FPG!H345+'[1]C.E.'!H345+[1]SAP!H345</f>
        <v>0</v>
      </c>
      <c r="I345" s="34">
        <f>[1]FPG!I345+'[1]C.E.'!I345+[1]SAP!I345</f>
        <v>0</v>
      </c>
      <c r="J345" s="34">
        <f>[1]FPG!J345+'[1]C.E.'!J345+[1]SAP!J345</f>
        <v>0</v>
      </c>
      <c r="K345" s="34">
        <f>[1]FPG!K345+'[1]C.E.'!K345+[1]SAP!K345</f>
        <v>0</v>
      </c>
      <c r="L345" s="34">
        <f>[1]FPG!L345+'[1]C.E.'!L345+[1]SAP!L345</f>
        <v>0</v>
      </c>
      <c r="M345" s="34">
        <f>[1]FPG!M345+'[1]C.E.'!M345+[1]SAP!M345</f>
        <v>0</v>
      </c>
      <c r="N345" s="34">
        <f>[1]FPG!N345+'[1]C.E.'!N345+[1]SAP!N345</f>
        <v>0</v>
      </c>
      <c r="O345" s="34">
        <f>[1]FPG!O345+'[1]C.E.'!O345+[1]SAP!O345</f>
        <v>0</v>
      </c>
      <c r="P345" s="34">
        <f>[1]FPG!P345+'[1]C.E.'!P345+[1]SAP!P345</f>
        <v>0</v>
      </c>
      <c r="Q345" s="34">
        <f>[1]FPG!Q345+'[1]C.E.'!Q345+[1]SAP!Q345</f>
        <v>0</v>
      </c>
      <c r="R345" s="27"/>
      <c r="S345" s="35">
        <f t="shared" si="45"/>
        <v>0</v>
      </c>
      <c r="T345" s="36">
        <f t="shared" si="52"/>
        <v>0</v>
      </c>
      <c r="V345" s="21">
        <f>S345-[1]FPG!S345-'[1]C.E.'!S345</f>
        <v>0</v>
      </c>
      <c r="W345" s="22"/>
    </row>
    <row r="346" spans="1:23" hidden="1" outlineLevel="1" x14ac:dyDescent="0.2">
      <c r="A346" s="9"/>
      <c r="B346" s="48"/>
      <c r="C346" s="31">
        <v>400343</v>
      </c>
      <c r="D346" s="32" t="s">
        <v>324</v>
      </c>
      <c r="E346" s="33"/>
      <c r="F346" s="34">
        <f>[1]FPG!F346+'[1]C.E.'!F346+[1]SAP!F346</f>
        <v>0</v>
      </c>
      <c r="G346" s="34">
        <f>[1]FPG!G346+'[1]C.E.'!G346+[1]SAP!G346</f>
        <v>0</v>
      </c>
      <c r="H346" s="34">
        <f>[1]FPG!H346+'[1]C.E.'!H346+[1]SAP!H346</f>
        <v>0</v>
      </c>
      <c r="I346" s="34">
        <f>[1]FPG!I346+'[1]C.E.'!I346+[1]SAP!I346</f>
        <v>0</v>
      </c>
      <c r="J346" s="34">
        <f>[1]FPG!J346+'[1]C.E.'!J346+[1]SAP!J346</f>
        <v>0</v>
      </c>
      <c r="K346" s="34">
        <f>[1]FPG!K346+'[1]C.E.'!K346+[1]SAP!K346</f>
        <v>0</v>
      </c>
      <c r="L346" s="34">
        <f>[1]FPG!L346+'[1]C.E.'!L346+[1]SAP!L346</f>
        <v>0</v>
      </c>
      <c r="M346" s="34">
        <f>[1]FPG!M346+'[1]C.E.'!M346+[1]SAP!M346</f>
        <v>0</v>
      </c>
      <c r="N346" s="34">
        <f>[1]FPG!N346+'[1]C.E.'!N346+[1]SAP!N346</f>
        <v>0</v>
      </c>
      <c r="O346" s="34">
        <f>[1]FPG!O346+'[1]C.E.'!O346+[1]SAP!O346</f>
        <v>0</v>
      </c>
      <c r="P346" s="34">
        <f>[1]FPG!P346+'[1]C.E.'!P346+[1]SAP!P346</f>
        <v>0</v>
      </c>
      <c r="Q346" s="34">
        <f>[1]FPG!Q346+'[1]C.E.'!Q346+[1]SAP!Q346</f>
        <v>0</v>
      </c>
      <c r="R346" s="27"/>
      <c r="S346" s="35">
        <f t="shared" si="45"/>
        <v>0</v>
      </c>
      <c r="T346" s="36">
        <f t="shared" si="52"/>
        <v>0</v>
      </c>
      <c r="V346" s="21">
        <f>S346-[1]FPG!S346-'[1]C.E.'!S346</f>
        <v>0</v>
      </c>
      <c r="W346" s="22"/>
    </row>
    <row r="347" spans="1:23" x14ac:dyDescent="0.2">
      <c r="A347" s="9"/>
      <c r="B347" s="49" t="s">
        <v>325</v>
      </c>
      <c r="C347" s="49" t="s">
        <v>326</v>
      </c>
      <c r="D347" s="50"/>
      <c r="E347" s="51" t="s">
        <v>102</v>
      </c>
      <c r="F347" s="52">
        <f>SUM(F348:F354)</f>
        <v>6083.3333333333339</v>
      </c>
      <c r="G347" s="52">
        <f>SUM(G348:G354)</f>
        <v>6083.3333333333339</v>
      </c>
      <c r="H347" s="52">
        <f t="shared" ref="H347:Q347" si="53">SUM(H348:H354)</f>
        <v>6083.3333333333339</v>
      </c>
      <c r="I347" s="52">
        <f t="shared" si="53"/>
        <v>6083.3333333333339</v>
      </c>
      <c r="J347" s="52">
        <f t="shared" si="53"/>
        <v>6083.3333333333339</v>
      </c>
      <c r="K347" s="52">
        <f t="shared" si="53"/>
        <v>6083.3333333333339</v>
      </c>
      <c r="L347" s="52">
        <f t="shared" si="53"/>
        <v>18083.333333333336</v>
      </c>
      <c r="M347" s="52">
        <f t="shared" si="53"/>
        <v>6083.3333333333339</v>
      </c>
      <c r="N347" s="52">
        <f t="shared" si="53"/>
        <v>6083.3333333333339</v>
      </c>
      <c r="O347" s="52">
        <f t="shared" si="53"/>
        <v>6083.3333333333339</v>
      </c>
      <c r="P347" s="52">
        <f t="shared" si="53"/>
        <v>6083.3333333333339</v>
      </c>
      <c r="Q347" s="52">
        <f t="shared" si="53"/>
        <v>6083.3333333333339</v>
      </c>
      <c r="R347" s="27"/>
      <c r="S347" s="28">
        <f>SUM(F347:R347)</f>
        <v>85000</v>
      </c>
      <c r="T347" s="29">
        <f>S347/$S$43</f>
        <v>7.2623916710060684E-3</v>
      </c>
      <c r="V347" s="21">
        <f>S347-[1]FPG!S347-'[1]C.E.'!S347</f>
        <v>0</v>
      </c>
      <c r="W347" s="22"/>
    </row>
    <row r="348" spans="1:23" outlineLevel="1" x14ac:dyDescent="0.2">
      <c r="A348" s="9"/>
      <c r="B348" s="48"/>
      <c r="C348" s="31">
        <v>400236</v>
      </c>
      <c r="D348" s="32" t="s">
        <v>327</v>
      </c>
      <c r="E348" s="33"/>
      <c r="F348" s="34">
        <f>[1]FPG!F348+'[1]C.E.'!F348+[1]SAP!F348</f>
        <v>1000</v>
      </c>
      <c r="G348" s="34">
        <f>[1]FPG!G348+'[1]C.E.'!G348+[1]SAP!G348</f>
        <v>1000</v>
      </c>
      <c r="H348" s="34">
        <f>[1]FPG!H348+'[1]C.E.'!H348+[1]SAP!H348</f>
        <v>1000</v>
      </c>
      <c r="I348" s="34">
        <f>[1]FPG!I348+'[1]C.E.'!I348+[1]SAP!I348</f>
        <v>1000</v>
      </c>
      <c r="J348" s="34">
        <f>[1]FPG!J348+'[1]C.E.'!J348+[1]SAP!J348</f>
        <v>1000</v>
      </c>
      <c r="K348" s="34">
        <f>[1]FPG!K348+'[1]C.E.'!K348+[1]SAP!K348</f>
        <v>1000</v>
      </c>
      <c r="L348" s="34">
        <f>[1]FPG!L348+'[1]C.E.'!L348+[1]SAP!L348</f>
        <v>1000</v>
      </c>
      <c r="M348" s="34">
        <f>[1]FPG!M348+'[1]C.E.'!M348+[1]SAP!M348</f>
        <v>1000</v>
      </c>
      <c r="N348" s="34">
        <f>[1]FPG!N348+'[1]C.E.'!N348+[1]SAP!N348</f>
        <v>1000</v>
      </c>
      <c r="O348" s="34">
        <f>[1]FPG!O348+'[1]C.E.'!O348+[1]SAP!O348</f>
        <v>1000</v>
      </c>
      <c r="P348" s="34">
        <f>[1]FPG!P348+'[1]C.E.'!P348+[1]SAP!P348</f>
        <v>1000</v>
      </c>
      <c r="Q348" s="34">
        <f>[1]FPG!Q348+'[1]C.E.'!Q348+[1]SAP!Q348</f>
        <v>1000</v>
      </c>
      <c r="R348" s="27"/>
      <c r="S348" s="35">
        <f t="shared" si="45"/>
        <v>12000</v>
      </c>
      <c r="T348" s="36">
        <f t="shared" ref="T348:T354" si="54">S348/$S$43</f>
        <v>1.0252788241420332E-3</v>
      </c>
      <c r="V348" s="21">
        <f>S348-[1]FPG!S348-'[1]C.E.'!S348</f>
        <v>0</v>
      </c>
      <c r="W348" s="22"/>
    </row>
    <row r="349" spans="1:23" outlineLevel="1" x14ac:dyDescent="0.2">
      <c r="A349" s="9"/>
      <c r="B349" s="48"/>
      <c r="C349" s="31">
        <v>400238</v>
      </c>
      <c r="D349" s="32" t="s">
        <v>328</v>
      </c>
      <c r="E349" s="33"/>
      <c r="F349" s="34">
        <f>[1]FPG!F349+'[1]C.E.'!F349+[1]SAP!F349</f>
        <v>1666.6666666666667</v>
      </c>
      <c r="G349" s="34">
        <f>[1]FPG!G349+'[1]C.E.'!G349+[1]SAP!G349</f>
        <v>1666.6666666666667</v>
      </c>
      <c r="H349" s="34">
        <f>[1]FPG!H349+'[1]C.E.'!H349+[1]SAP!H349</f>
        <v>1666.6666666666667</v>
      </c>
      <c r="I349" s="34">
        <f>[1]FPG!I349+'[1]C.E.'!I349+[1]SAP!I349</f>
        <v>1666.6666666666667</v>
      </c>
      <c r="J349" s="34">
        <f>[1]FPG!J349+'[1]C.E.'!J349+[1]SAP!J349</f>
        <v>1666.6666666666667</v>
      </c>
      <c r="K349" s="34">
        <f>[1]FPG!K349+'[1]C.E.'!K349+[1]SAP!K349</f>
        <v>1666.6666666666667</v>
      </c>
      <c r="L349" s="34">
        <f>[1]FPG!L349+'[1]C.E.'!L349+[1]SAP!L349</f>
        <v>1666.6666666666667</v>
      </c>
      <c r="M349" s="34">
        <f>[1]FPG!M349+'[1]C.E.'!M349+[1]SAP!M349</f>
        <v>1666.6666666666667</v>
      </c>
      <c r="N349" s="34">
        <f>[1]FPG!N349+'[1]C.E.'!N349+[1]SAP!N349</f>
        <v>1666.6666666666667</v>
      </c>
      <c r="O349" s="34">
        <f>[1]FPG!O349+'[1]C.E.'!O349+[1]SAP!O349</f>
        <v>1666.6666666666667</v>
      </c>
      <c r="P349" s="34">
        <f>[1]FPG!P349+'[1]C.E.'!P349+[1]SAP!P349</f>
        <v>1666.6666666666667</v>
      </c>
      <c r="Q349" s="34">
        <f>[1]FPG!Q349+'[1]C.E.'!Q349+[1]SAP!Q349</f>
        <v>1666.6666666666667</v>
      </c>
      <c r="R349" s="27"/>
      <c r="S349" s="35">
        <f t="shared" si="45"/>
        <v>20000</v>
      </c>
      <c r="T349" s="36">
        <f t="shared" si="54"/>
        <v>1.7087980402367218E-3</v>
      </c>
      <c r="V349" s="21">
        <f>S349-[1]FPG!S349-'[1]C.E.'!S349</f>
        <v>0</v>
      </c>
      <c r="W349" s="22"/>
    </row>
    <row r="350" spans="1:23" outlineLevel="1" x14ac:dyDescent="0.2">
      <c r="A350" s="9"/>
      <c r="B350" s="48"/>
      <c r="C350" s="31">
        <v>400239</v>
      </c>
      <c r="D350" s="32" t="s">
        <v>329</v>
      </c>
      <c r="E350" s="33"/>
      <c r="F350" s="34">
        <f>[1]FPG!F350+'[1]C.E.'!F350+[1]SAP!F350</f>
        <v>666.66666666666663</v>
      </c>
      <c r="G350" s="34">
        <f>[1]FPG!G350+'[1]C.E.'!G350+[1]SAP!G350</f>
        <v>666.66666666666663</v>
      </c>
      <c r="H350" s="34">
        <f>[1]FPG!H350+'[1]C.E.'!H350+[1]SAP!H350</f>
        <v>666.66666666666663</v>
      </c>
      <c r="I350" s="34">
        <f>[1]FPG!I350+'[1]C.E.'!I350+[1]SAP!I350</f>
        <v>666.66666666666663</v>
      </c>
      <c r="J350" s="34">
        <f>[1]FPG!J350+'[1]C.E.'!J350+[1]SAP!J350</f>
        <v>666.66666666666663</v>
      </c>
      <c r="K350" s="34">
        <f>[1]FPG!K350+'[1]C.E.'!K350+[1]SAP!K350</f>
        <v>666.66666666666663</v>
      </c>
      <c r="L350" s="34">
        <f>[1]FPG!L350+'[1]C.E.'!L350+[1]SAP!L350</f>
        <v>666.66666666666663</v>
      </c>
      <c r="M350" s="34">
        <f>[1]FPG!M350+'[1]C.E.'!M350+[1]SAP!M350</f>
        <v>666.66666666666663</v>
      </c>
      <c r="N350" s="34">
        <f>[1]FPG!N350+'[1]C.E.'!N350+[1]SAP!N350</f>
        <v>666.66666666666663</v>
      </c>
      <c r="O350" s="34">
        <f>[1]FPG!O350+'[1]C.E.'!O350+[1]SAP!O350</f>
        <v>666.66666666666663</v>
      </c>
      <c r="P350" s="34">
        <f>[1]FPG!P350+'[1]C.E.'!P350+[1]SAP!P350</f>
        <v>666.66666666666663</v>
      </c>
      <c r="Q350" s="34">
        <f>[1]FPG!Q350+'[1]C.E.'!Q350+[1]SAP!Q350</f>
        <v>666.66666666666663</v>
      </c>
      <c r="R350" s="27"/>
      <c r="S350" s="35">
        <f t="shared" si="45"/>
        <v>8000.0000000000009</v>
      </c>
      <c r="T350" s="36">
        <f t="shared" si="54"/>
        <v>6.8351921609468885E-4</v>
      </c>
      <c r="V350" s="21">
        <f>S350-[1]FPG!S350-'[1]C.E.'!S350</f>
        <v>0</v>
      </c>
      <c r="W350" s="22"/>
    </row>
    <row r="351" spans="1:23" hidden="1" outlineLevel="1" x14ac:dyDescent="0.2">
      <c r="A351" s="9"/>
      <c r="B351" s="48"/>
      <c r="C351" s="31">
        <v>400240</v>
      </c>
      <c r="D351" s="32" t="s">
        <v>330</v>
      </c>
      <c r="E351" s="33"/>
      <c r="F351" s="34">
        <f>[1]FPG!F351+'[1]C.E.'!F351+[1]SAP!F351</f>
        <v>0</v>
      </c>
      <c r="G351" s="34">
        <f>[1]FPG!G351+'[1]C.E.'!G351+[1]SAP!G351</f>
        <v>0</v>
      </c>
      <c r="H351" s="34">
        <f>[1]FPG!H351+'[1]C.E.'!H351+[1]SAP!H351</f>
        <v>0</v>
      </c>
      <c r="I351" s="34">
        <f>[1]FPG!I351+'[1]C.E.'!I351+[1]SAP!I351</f>
        <v>0</v>
      </c>
      <c r="J351" s="34">
        <f>[1]FPG!J351+'[1]C.E.'!J351+[1]SAP!J351</f>
        <v>0</v>
      </c>
      <c r="K351" s="34">
        <f>[1]FPG!K351+'[1]C.E.'!K351+[1]SAP!K351</f>
        <v>0</v>
      </c>
      <c r="L351" s="34">
        <f>[1]FPG!L351+'[1]C.E.'!L351+[1]SAP!L351</f>
        <v>0</v>
      </c>
      <c r="M351" s="34">
        <f>[1]FPG!M351+'[1]C.E.'!M351+[1]SAP!M351</f>
        <v>0</v>
      </c>
      <c r="N351" s="34">
        <f>[1]FPG!N351+'[1]C.E.'!N351+[1]SAP!N351</f>
        <v>0</v>
      </c>
      <c r="O351" s="34">
        <f>[1]FPG!O351+'[1]C.E.'!O351+[1]SAP!O351</f>
        <v>0</v>
      </c>
      <c r="P351" s="34">
        <f>[1]FPG!P351+'[1]C.E.'!P351+[1]SAP!P351</f>
        <v>0</v>
      </c>
      <c r="Q351" s="34">
        <f>[1]FPG!Q351+'[1]C.E.'!Q351+[1]SAP!Q351</f>
        <v>0</v>
      </c>
      <c r="R351" s="27"/>
      <c r="S351" s="35">
        <f t="shared" si="45"/>
        <v>0</v>
      </c>
      <c r="T351" s="36">
        <f t="shared" si="54"/>
        <v>0</v>
      </c>
      <c r="V351" s="21">
        <f>S351-[1]FPG!S351-'[1]C.E.'!S351</f>
        <v>0</v>
      </c>
      <c r="W351" s="22"/>
    </row>
    <row r="352" spans="1:23" outlineLevel="1" x14ac:dyDescent="0.2">
      <c r="A352" s="9"/>
      <c r="B352" s="48"/>
      <c r="C352" s="31">
        <v>400241</v>
      </c>
      <c r="D352" s="32" t="s">
        <v>331</v>
      </c>
      <c r="E352" s="33"/>
      <c r="F352" s="34">
        <f>[1]FPG!F352+'[1]C.E.'!F352+[1]SAP!F352</f>
        <v>250</v>
      </c>
      <c r="G352" s="34">
        <f>[1]FPG!G352+'[1]C.E.'!G352+[1]SAP!G352</f>
        <v>250</v>
      </c>
      <c r="H352" s="34">
        <f>[1]FPG!H352+'[1]C.E.'!H352+[1]SAP!H352</f>
        <v>250</v>
      </c>
      <c r="I352" s="34">
        <f>[1]FPG!I352+'[1]C.E.'!I352+[1]SAP!I352</f>
        <v>250</v>
      </c>
      <c r="J352" s="34">
        <f>[1]FPG!J352+'[1]C.E.'!J352+[1]SAP!J352</f>
        <v>250</v>
      </c>
      <c r="K352" s="34">
        <f>[1]FPG!K352+'[1]C.E.'!K352+[1]SAP!K352</f>
        <v>250</v>
      </c>
      <c r="L352" s="34">
        <f>[1]FPG!L352+'[1]C.E.'!L352+[1]SAP!L352</f>
        <v>250</v>
      </c>
      <c r="M352" s="34">
        <f>[1]FPG!M352+'[1]C.E.'!M352+[1]SAP!M352</f>
        <v>250</v>
      </c>
      <c r="N352" s="34">
        <f>[1]FPG!N352+'[1]C.E.'!N352+[1]SAP!N352</f>
        <v>250</v>
      </c>
      <c r="O352" s="34">
        <f>[1]FPG!O352+'[1]C.E.'!O352+[1]SAP!O352</f>
        <v>250</v>
      </c>
      <c r="P352" s="34">
        <f>[1]FPG!P352+'[1]C.E.'!P352+[1]SAP!P352</f>
        <v>250</v>
      </c>
      <c r="Q352" s="34">
        <f>[1]FPG!Q352+'[1]C.E.'!Q352+[1]SAP!Q352</f>
        <v>250</v>
      </c>
      <c r="R352" s="27"/>
      <c r="S352" s="35">
        <f t="shared" si="45"/>
        <v>3000</v>
      </c>
      <c r="T352" s="36">
        <f t="shared" si="54"/>
        <v>2.5631970603550829E-4</v>
      </c>
      <c r="V352" s="21">
        <f>S352-[1]FPG!S352-'[1]C.E.'!S352</f>
        <v>0</v>
      </c>
      <c r="W352" s="22"/>
    </row>
    <row r="353" spans="1:23" outlineLevel="1" x14ac:dyDescent="0.2">
      <c r="A353" s="9"/>
      <c r="B353" s="48"/>
      <c r="C353" s="31">
        <v>400242</v>
      </c>
      <c r="D353" s="32" t="s">
        <v>332</v>
      </c>
      <c r="E353" s="33"/>
      <c r="F353" s="34">
        <f>[1]FPG!F353+'[1]C.E.'!F353+[1]SAP!F353</f>
        <v>2500</v>
      </c>
      <c r="G353" s="34">
        <f>[1]FPG!G353+'[1]C.E.'!G353+[1]SAP!G353</f>
        <v>2500</v>
      </c>
      <c r="H353" s="34">
        <f>[1]FPG!H353+'[1]C.E.'!H353+[1]SAP!H353</f>
        <v>2500</v>
      </c>
      <c r="I353" s="34">
        <f>[1]FPG!I353+'[1]C.E.'!I353+[1]SAP!I353</f>
        <v>2500</v>
      </c>
      <c r="J353" s="34">
        <f>[1]FPG!J353+'[1]C.E.'!J353+[1]SAP!J353</f>
        <v>2500</v>
      </c>
      <c r="K353" s="34">
        <f>[1]FPG!K353+'[1]C.E.'!K353+[1]SAP!K353</f>
        <v>2500</v>
      </c>
      <c r="L353" s="34">
        <f>[1]FPG!L353+'[1]C.E.'!L353+[1]SAP!L353</f>
        <v>2500</v>
      </c>
      <c r="M353" s="34">
        <f>[1]FPG!M353+'[1]C.E.'!M353+[1]SAP!M353</f>
        <v>2500</v>
      </c>
      <c r="N353" s="34">
        <f>[1]FPG!N353+'[1]C.E.'!N353+[1]SAP!N353</f>
        <v>2500</v>
      </c>
      <c r="O353" s="34">
        <f>[1]FPG!O353+'[1]C.E.'!O353+[1]SAP!O353</f>
        <v>2500</v>
      </c>
      <c r="P353" s="34">
        <f>[1]FPG!P353+'[1]C.E.'!P353+[1]SAP!P353</f>
        <v>2500</v>
      </c>
      <c r="Q353" s="34">
        <f>[1]FPG!Q353+'[1]C.E.'!Q353+[1]SAP!Q353</f>
        <v>2500</v>
      </c>
      <c r="R353" s="27"/>
      <c r="S353" s="35">
        <f t="shared" si="45"/>
        <v>30000</v>
      </c>
      <c r="T353" s="36">
        <f t="shared" si="54"/>
        <v>2.563197060355083E-3</v>
      </c>
      <c r="V353" s="21">
        <f>S353-[1]FPG!S353-'[1]C.E.'!S353</f>
        <v>0</v>
      </c>
      <c r="W353" s="22"/>
    </row>
    <row r="354" spans="1:23" outlineLevel="1" x14ac:dyDescent="0.2">
      <c r="A354" s="9"/>
      <c r="B354" s="48"/>
      <c r="C354" s="31">
        <v>400243</v>
      </c>
      <c r="D354" s="32" t="s">
        <v>333</v>
      </c>
      <c r="E354" s="33"/>
      <c r="F354" s="34">
        <f>[1]FPG!F354+'[1]C.E.'!F354+[1]SAP!F354</f>
        <v>0</v>
      </c>
      <c r="G354" s="34">
        <f>[1]FPG!G354+'[1]C.E.'!G354+[1]SAP!G354</f>
        <v>0</v>
      </c>
      <c r="H354" s="34">
        <f>[1]FPG!H354+'[1]C.E.'!H354+[1]SAP!H354</f>
        <v>0</v>
      </c>
      <c r="I354" s="34">
        <f>[1]FPG!I354+'[1]C.E.'!I354+[1]SAP!I354</f>
        <v>0</v>
      </c>
      <c r="J354" s="34">
        <f>[1]FPG!J354+'[1]C.E.'!J354+[1]SAP!J354</f>
        <v>0</v>
      </c>
      <c r="K354" s="34">
        <f>[1]FPG!K354+'[1]C.E.'!K354+[1]SAP!K354</f>
        <v>0</v>
      </c>
      <c r="L354" s="34">
        <f>[1]FPG!L354+'[1]C.E.'!L354+[1]SAP!L354</f>
        <v>12000</v>
      </c>
      <c r="M354" s="34">
        <f>[1]FPG!M354+'[1]C.E.'!M354+[1]SAP!M354</f>
        <v>0</v>
      </c>
      <c r="N354" s="34">
        <f>[1]FPG!N354+'[1]C.E.'!N354+[1]SAP!N354</f>
        <v>0</v>
      </c>
      <c r="O354" s="34">
        <f>[1]FPG!O354+'[1]C.E.'!O354+[1]SAP!O354</f>
        <v>0</v>
      </c>
      <c r="P354" s="34">
        <f>[1]FPG!P354+'[1]C.E.'!P354+[1]SAP!P354</f>
        <v>0</v>
      </c>
      <c r="Q354" s="34">
        <f>[1]FPG!Q354+'[1]C.E.'!Q354+[1]SAP!Q354</f>
        <v>0</v>
      </c>
      <c r="R354" s="27"/>
      <c r="S354" s="35">
        <f t="shared" si="45"/>
        <v>12000</v>
      </c>
      <c r="T354" s="36">
        <f t="shared" si="54"/>
        <v>1.0252788241420332E-3</v>
      </c>
      <c r="V354" s="21">
        <f>S354-[1]FPG!S354-'[1]C.E.'!S354</f>
        <v>0</v>
      </c>
      <c r="W354" s="22"/>
    </row>
    <row r="355" spans="1:23" x14ac:dyDescent="0.2">
      <c r="A355" s="9"/>
      <c r="B355" s="49" t="s">
        <v>334</v>
      </c>
      <c r="C355" s="49" t="s">
        <v>335</v>
      </c>
      <c r="D355" s="50"/>
      <c r="E355" s="51" t="s">
        <v>57</v>
      </c>
      <c r="F355" s="52">
        <f t="shared" ref="F355:Q355" si="55">SUM(F356:F380)</f>
        <v>40500.000000000007</v>
      </c>
      <c r="G355" s="52">
        <f t="shared" si="55"/>
        <v>24500</v>
      </c>
      <c r="H355" s="52">
        <f t="shared" si="55"/>
        <v>34500</v>
      </c>
      <c r="I355" s="52">
        <f t="shared" si="55"/>
        <v>34500</v>
      </c>
      <c r="J355" s="52">
        <f t="shared" si="55"/>
        <v>39500</v>
      </c>
      <c r="K355" s="52">
        <f t="shared" si="55"/>
        <v>34500</v>
      </c>
      <c r="L355" s="52">
        <f t="shared" si="55"/>
        <v>34500</v>
      </c>
      <c r="M355" s="52">
        <f t="shared" si="55"/>
        <v>34500</v>
      </c>
      <c r="N355" s="52">
        <f t="shared" si="55"/>
        <v>34500</v>
      </c>
      <c r="O355" s="52">
        <f t="shared" si="55"/>
        <v>34500</v>
      </c>
      <c r="P355" s="52">
        <f t="shared" si="55"/>
        <v>39500</v>
      </c>
      <c r="Q355" s="52">
        <f t="shared" si="55"/>
        <v>34500</v>
      </c>
      <c r="R355" s="27"/>
      <c r="S355" s="28">
        <f t="shared" si="45"/>
        <v>420000</v>
      </c>
      <c r="T355" s="29">
        <f>S355/$S$43</f>
        <v>3.5884758844971158E-2</v>
      </c>
      <c r="V355" s="21">
        <f>S355-[1]FPG!S355-'[1]C.E.'!S355</f>
        <v>0</v>
      </c>
      <c r="W355" s="22"/>
    </row>
    <row r="356" spans="1:23" hidden="1" outlineLevel="1" x14ac:dyDescent="0.2">
      <c r="A356" s="9"/>
      <c r="B356" s="48"/>
      <c r="C356" s="31">
        <v>400244</v>
      </c>
      <c r="D356" s="32" t="s">
        <v>336</v>
      </c>
      <c r="E356" s="33"/>
      <c r="F356" s="34">
        <f>[1]FPG!F356+'[1]C.E.'!F356+[1]SAP!F356</f>
        <v>0</v>
      </c>
      <c r="G356" s="34">
        <f>[1]FPG!G356+'[1]C.E.'!G356+[1]SAP!G356</f>
        <v>0</v>
      </c>
      <c r="H356" s="34">
        <f>[1]FPG!H356+'[1]C.E.'!H356+[1]SAP!H356</f>
        <v>0</v>
      </c>
      <c r="I356" s="34">
        <f>[1]FPG!I356+'[1]C.E.'!I356+[1]SAP!I356</f>
        <v>0</v>
      </c>
      <c r="J356" s="34">
        <f>[1]FPG!J356+'[1]C.E.'!J356+[1]SAP!J356</f>
        <v>0</v>
      </c>
      <c r="K356" s="34">
        <f>[1]FPG!K356+'[1]C.E.'!K356+[1]SAP!K356</f>
        <v>0</v>
      </c>
      <c r="L356" s="34">
        <f>[1]FPG!L356+'[1]C.E.'!L356+[1]SAP!L356</f>
        <v>0</v>
      </c>
      <c r="M356" s="34">
        <f>[1]FPG!M356+'[1]C.E.'!M356+[1]SAP!M356</f>
        <v>0</v>
      </c>
      <c r="N356" s="34">
        <f>[1]FPG!N356+'[1]C.E.'!N356+[1]SAP!N356</f>
        <v>0</v>
      </c>
      <c r="O356" s="34">
        <f>[1]FPG!O356+'[1]C.E.'!O356+[1]SAP!O356</f>
        <v>0</v>
      </c>
      <c r="P356" s="34">
        <f>[1]FPG!P356+'[1]C.E.'!P356+[1]SAP!P356</f>
        <v>0</v>
      </c>
      <c r="Q356" s="34">
        <f>[1]FPG!Q356+'[1]C.E.'!Q356+[1]SAP!Q356</f>
        <v>0</v>
      </c>
      <c r="R356" s="27"/>
      <c r="S356" s="35">
        <f t="shared" si="45"/>
        <v>0</v>
      </c>
      <c r="T356" s="36">
        <f t="shared" ref="T356:T380" si="56">S356/$S$43</f>
        <v>0</v>
      </c>
      <c r="V356" s="21">
        <f>S356-[1]FPG!S356-'[1]C.E.'!S356</f>
        <v>0</v>
      </c>
      <c r="W356" s="22"/>
    </row>
    <row r="357" spans="1:23" hidden="1" outlineLevel="1" x14ac:dyDescent="0.2">
      <c r="A357" s="9"/>
      <c r="B357" s="48"/>
      <c r="C357" s="31">
        <v>400245</v>
      </c>
      <c r="D357" s="32" t="s">
        <v>337</v>
      </c>
      <c r="E357" s="33"/>
      <c r="F357" s="34">
        <f>[1]FPG!F357+'[1]C.E.'!F357+[1]SAP!F357</f>
        <v>0</v>
      </c>
      <c r="G357" s="34">
        <f>[1]FPG!G357+'[1]C.E.'!G357+[1]SAP!G357</f>
        <v>0</v>
      </c>
      <c r="H357" s="34">
        <f>[1]FPG!H357+'[1]C.E.'!H357+[1]SAP!H357</f>
        <v>0</v>
      </c>
      <c r="I357" s="34">
        <f>[1]FPG!I357+'[1]C.E.'!I357+[1]SAP!I357</f>
        <v>0</v>
      </c>
      <c r="J357" s="34">
        <f>[1]FPG!J357+'[1]C.E.'!J357+[1]SAP!J357</f>
        <v>0</v>
      </c>
      <c r="K357" s="34">
        <f>[1]FPG!K357+'[1]C.E.'!K357+[1]SAP!K357</f>
        <v>0</v>
      </c>
      <c r="L357" s="34">
        <f>[1]FPG!L357+'[1]C.E.'!L357+[1]SAP!L357</f>
        <v>0</v>
      </c>
      <c r="M357" s="34">
        <f>[1]FPG!M357+'[1]C.E.'!M357+[1]SAP!M357</f>
        <v>0</v>
      </c>
      <c r="N357" s="34">
        <f>[1]FPG!N357+'[1]C.E.'!N357+[1]SAP!N357</f>
        <v>0</v>
      </c>
      <c r="O357" s="34">
        <f>[1]FPG!O357+'[1]C.E.'!O357+[1]SAP!O357</f>
        <v>0</v>
      </c>
      <c r="P357" s="34">
        <f>[1]FPG!P357+'[1]C.E.'!P357+[1]SAP!P357</f>
        <v>0</v>
      </c>
      <c r="Q357" s="34">
        <f>[1]FPG!Q357+'[1]C.E.'!Q357+[1]SAP!Q357</f>
        <v>0</v>
      </c>
      <c r="R357" s="27"/>
      <c r="S357" s="35">
        <f t="shared" ref="S357:S380" si="57">SUM(F357:R357)</f>
        <v>0</v>
      </c>
      <c r="T357" s="36">
        <f t="shared" si="56"/>
        <v>0</v>
      </c>
      <c r="V357" s="21">
        <f>S357-[1]FPG!S357-'[1]C.E.'!S357</f>
        <v>0</v>
      </c>
      <c r="W357" s="22"/>
    </row>
    <row r="358" spans="1:23" outlineLevel="1" x14ac:dyDescent="0.2">
      <c r="A358" s="9"/>
      <c r="B358" s="48"/>
      <c r="C358" s="31">
        <v>400246</v>
      </c>
      <c r="D358" s="32" t="s">
        <v>338</v>
      </c>
      <c r="E358" s="33"/>
      <c r="F358" s="34">
        <f>[1]FPG!F358+'[1]C.E.'!F358+[1]SAP!F358</f>
        <v>6583.333333333333</v>
      </c>
      <c r="G358" s="34">
        <f>[1]FPG!G358+'[1]C.E.'!G358+[1]SAP!G358</f>
        <v>6583.333333333333</v>
      </c>
      <c r="H358" s="34">
        <f>[1]FPG!H358+'[1]C.E.'!H358+[1]SAP!H358</f>
        <v>6583.333333333333</v>
      </c>
      <c r="I358" s="34">
        <f>[1]FPG!I358+'[1]C.E.'!I358+[1]SAP!I358</f>
        <v>6583.333333333333</v>
      </c>
      <c r="J358" s="34">
        <f>[1]FPG!J358+'[1]C.E.'!J358+[1]SAP!J358</f>
        <v>11583.333333333332</v>
      </c>
      <c r="K358" s="34">
        <f>[1]FPG!K358+'[1]C.E.'!K358+[1]SAP!K358</f>
        <v>6583.333333333333</v>
      </c>
      <c r="L358" s="34">
        <f>[1]FPG!L358+'[1]C.E.'!L358+[1]SAP!L358</f>
        <v>6583.333333333333</v>
      </c>
      <c r="M358" s="34">
        <f>[1]FPG!M358+'[1]C.E.'!M358+[1]SAP!M358</f>
        <v>6583.333333333333</v>
      </c>
      <c r="N358" s="34">
        <f>[1]FPG!N358+'[1]C.E.'!N358+[1]SAP!N358</f>
        <v>6583.333333333333</v>
      </c>
      <c r="O358" s="34">
        <f>[1]FPG!O358+'[1]C.E.'!O358+[1]SAP!O358</f>
        <v>6583.333333333333</v>
      </c>
      <c r="P358" s="34">
        <f>[1]FPG!P358+'[1]C.E.'!P358+[1]SAP!P358</f>
        <v>11583.333333333332</v>
      </c>
      <c r="Q358" s="34">
        <f>[1]FPG!Q358+'[1]C.E.'!Q358+[1]SAP!Q358</f>
        <v>6583.333333333333</v>
      </c>
      <c r="R358" s="27"/>
      <c r="S358" s="35">
        <f t="shared" si="57"/>
        <v>89000</v>
      </c>
      <c r="T358" s="36">
        <f t="shared" si="56"/>
        <v>7.6041512790534123E-3</v>
      </c>
      <c r="V358" s="21">
        <f>S358-[1]FPG!S358-'[1]C.E.'!S358</f>
        <v>0</v>
      </c>
      <c r="W358" s="22"/>
    </row>
    <row r="359" spans="1:23" outlineLevel="1" x14ac:dyDescent="0.2">
      <c r="A359" s="9"/>
      <c r="B359" s="48"/>
      <c r="C359" s="82">
        <v>400247</v>
      </c>
      <c r="D359" s="32" t="s">
        <v>339</v>
      </c>
      <c r="E359" s="33"/>
      <c r="F359" s="34">
        <f>[1]FPG!F359+'[1]C.E.'!F359+[1]SAP!F359</f>
        <v>0</v>
      </c>
      <c r="G359" s="34">
        <f>[1]FPG!G359+'[1]C.E.'!G359+[1]SAP!G359</f>
        <v>0</v>
      </c>
      <c r="H359" s="34">
        <f>[1]FPG!H359+'[1]C.E.'!H359+[1]SAP!H359</f>
        <v>10000</v>
      </c>
      <c r="I359" s="34">
        <f>[1]FPG!I359+'[1]C.E.'!I359+[1]SAP!I359</f>
        <v>10000</v>
      </c>
      <c r="J359" s="34">
        <f>[1]FPG!J359+'[1]C.E.'!J359+[1]SAP!J359</f>
        <v>10000</v>
      </c>
      <c r="K359" s="34">
        <f>[1]FPG!K359+'[1]C.E.'!K359+[1]SAP!K359</f>
        <v>10000</v>
      </c>
      <c r="L359" s="34">
        <f>[1]FPG!L359+'[1]C.E.'!L359+[1]SAP!L359</f>
        <v>10000</v>
      </c>
      <c r="M359" s="34">
        <f>[1]FPG!M359+'[1]C.E.'!M359+[1]SAP!M359</f>
        <v>10000</v>
      </c>
      <c r="N359" s="34">
        <f>[1]FPG!N359+'[1]C.E.'!N359+[1]SAP!N359</f>
        <v>10000</v>
      </c>
      <c r="O359" s="34">
        <f>[1]FPG!O359+'[1]C.E.'!O359+[1]SAP!O359</f>
        <v>10000</v>
      </c>
      <c r="P359" s="34">
        <f>[1]FPG!P359+'[1]C.E.'!P359+[1]SAP!P359</f>
        <v>10000</v>
      </c>
      <c r="Q359" s="34">
        <f>[1]FPG!Q359+'[1]C.E.'!Q359+[1]SAP!Q359</f>
        <v>10000</v>
      </c>
      <c r="R359" s="27"/>
      <c r="S359" s="35">
        <f t="shared" si="57"/>
        <v>100000</v>
      </c>
      <c r="T359" s="36">
        <f t="shared" si="56"/>
        <v>8.5439902011836093E-3</v>
      </c>
      <c r="V359" s="21">
        <f>S359-[1]FPG!S359-'[1]C.E.'!S359</f>
        <v>0</v>
      </c>
      <c r="W359" s="22"/>
    </row>
    <row r="360" spans="1:23" outlineLevel="1" x14ac:dyDescent="0.2">
      <c r="A360" s="9"/>
      <c r="B360" s="48"/>
      <c r="C360" s="31">
        <v>400248</v>
      </c>
      <c r="D360" s="44" t="s">
        <v>340</v>
      </c>
      <c r="E360" s="33"/>
      <c r="F360" s="34">
        <f>[1]FPG!F360+'[1]C.E.'!F360+[1]SAP!F360</f>
        <v>27708.333333333336</v>
      </c>
      <c r="G360" s="34">
        <f>[1]FPG!G360+'[1]C.E.'!G360+[1]SAP!G360</f>
        <v>11708.333333333334</v>
      </c>
      <c r="H360" s="34">
        <f>[1]FPG!H360+'[1]C.E.'!H360+[1]SAP!H360</f>
        <v>11708.333333333334</v>
      </c>
      <c r="I360" s="34">
        <f>[1]FPG!I360+'[1]C.E.'!I360+[1]SAP!I360</f>
        <v>11708.333333333334</v>
      </c>
      <c r="J360" s="34">
        <f>[1]FPG!J360+'[1]C.E.'!J360+[1]SAP!J360</f>
        <v>11708.333333333334</v>
      </c>
      <c r="K360" s="34">
        <f>[1]FPG!K360+'[1]C.E.'!K360+[1]SAP!K360</f>
        <v>11708.333333333334</v>
      </c>
      <c r="L360" s="34">
        <f>[1]FPG!L360+'[1]C.E.'!L360+[1]SAP!L360</f>
        <v>11708.333333333334</v>
      </c>
      <c r="M360" s="34">
        <f>[1]FPG!M360+'[1]C.E.'!M360+[1]SAP!M360</f>
        <v>11708.333333333334</v>
      </c>
      <c r="N360" s="34">
        <f>[1]FPG!N360+'[1]C.E.'!N360+[1]SAP!N360</f>
        <v>11708.333333333334</v>
      </c>
      <c r="O360" s="34">
        <f>[1]FPG!O360+'[1]C.E.'!O360+[1]SAP!O360</f>
        <v>11708.333333333334</v>
      </c>
      <c r="P360" s="34">
        <f>[1]FPG!P360+'[1]C.E.'!P360+[1]SAP!P360</f>
        <v>11708.333333333334</v>
      </c>
      <c r="Q360" s="34">
        <f>[1]FPG!Q360+'[1]C.E.'!Q360+[1]SAP!Q360</f>
        <v>11708.333333333334</v>
      </c>
      <c r="R360" s="27"/>
      <c r="S360" s="35">
        <f t="shared" si="57"/>
        <v>156500</v>
      </c>
      <c r="T360" s="36">
        <f t="shared" si="56"/>
        <v>1.3371344664852349E-2</v>
      </c>
      <c r="V360" s="21">
        <f>S360-[1]FPG!S360-'[1]C.E.'!S360</f>
        <v>2.9103830456733704E-11</v>
      </c>
      <c r="W360" s="22"/>
    </row>
    <row r="361" spans="1:23" outlineLevel="1" x14ac:dyDescent="0.2">
      <c r="A361" s="9"/>
      <c r="B361" s="30"/>
      <c r="C361" s="31">
        <v>400249</v>
      </c>
      <c r="D361" s="32" t="s">
        <v>341</v>
      </c>
      <c r="E361" s="33"/>
      <c r="F361" s="34">
        <f>[1]FPG!F361+'[1]C.E.'!F361+[1]SAP!F361</f>
        <v>1000</v>
      </c>
      <c r="G361" s="34">
        <f>[1]FPG!G361+'[1]C.E.'!G361+[1]SAP!G361</f>
        <v>1000</v>
      </c>
      <c r="H361" s="34">
        <f>[1]FPG!H361+'[1]C.E.'!H361+[1]SAP!H361</f>
        <v>1000</v>
      </c>
      <c r="I361" s="34">
        <f>[1]FPG!I361+'[1]C.E.'!I361+[1]SAP!I361</f>
        <v>1000</v>
      </c>
      <c r="J361" s="34">
        <f>[1]FPG!J361+'[1]C.E.'!J361+[1]SAP!J361</f>
        <v>1000</v>
      </c>
      <c r="K361" s="34">
        <f>[1]FPG!K361+'[1]C.E.'!K361+[1]SAP!K361</f>
        <v>1000</v>
      </c>
      <c r="L361" s="34">
        <f>[1]FPG!L361+'[1]C.E.'!L361+[1]SAP!L361</f>
        <v>1000</v>
      </c>
      <c r="M361" s="34">
        <f>[1]FPG!M361+'[1]C.E.'!M361+[1]SAP!M361</f>
        <v>1000</v>
      </c>
      <c r="N361" s="34">
        <f>[1]FPG!N361+'[1]C.E.'!N361+[1]SAP!N361</f>
        <v>1000</v>
      </c>
      <c r="O361" s="34">
        <f>[1]FPG!O361+'[1]C.E.'!O361+[1]SAP!O361</f>
        <v>1000</v>
      </c>
      <c r="P361" s="34">
        <f>[1]FPG!P361+'[1]C.E.'!P361+[1]SAP!P361</f>
        <v>1000</v>
      </c>
      <c r="Q361" s="34">
        <f>[1]FPG!Q361+'[1]C.E.'!Q361+[1]SAP!Q361</f>
        <v>1000</v>
      </c>
      <c r="R361" s="27"/>
      <c r="S361" s="35">
        <f t="shared" si="57"/>
        <v>12000</v>
      </c>
      <c r="T361" s="36">
        <f t="shared" si="56"/>
        <v>1.0252788241420332E-3</v>
      </c>
      <c r="V361" s="21">
        <f>S361-[1]FPG!S361-'[1]C.E.'!S361</f>
        <v>0</v>
      </c>
      <c r="W361" s="22"/>
    </row>
    <row r="362" spans="1:23" hidden="1" outlineLevel="1" x14ac:dyDescent="0.2">
      <c r="A362" s="9"/>
      <c r="B362" s="30"/>
      <c r="C362" s="31">
        <v>400250</v>
      </c>
      <c r="D362" s="32" t="s">
        <v>342</v>
      </c>
      <c r="E362" s="33"/>
      <c r="F362" s="34">
        <f>[1]FPG!F362+'[1]C.E.'!F362+[1]SAP!F362</f>
        <v>0</v>
      </c>
      <c r="G362" s="34">
        <f>[1]FPG!G362+'[1]C.E.'!G362+[1]SAP!G362</f>
        <v>0</v>
      </c>
      <c r="H362" s="34">
        <f>[1]FPG!H362+'[1]C.E.'!H362+[1]SAP!H362</f>
        <v>0</v>
      </c>
      <c r="I362" s="34">
        <f>[1]FPG!I362+'[1]C.E.'!I362+[1]SAP!I362</f>
        <v>0</v>
      </c>
      <c r="J362" s="34">
        <f>[1]FPG!J362+'[1]C.E.'!J362+[1]SAP!J362</f>
        <v>0</v>
      </c>
      <c r="K362" s="34">
        <f>[1]FPG!K362+'[1]C.E.'!K362+[1]SAP!K362</f>
        <v>0</v>
      </c>
      <c r="L362" s="34">
        <f>[1]FPG!L362+'[1]C.E.'!L362+[1]SAP!L362</f>
        <v>0</v>
      </c>
      <c r="M362" s="34">
        <f>[1]FPG!M362+'[1]C.E.'!M362+[1]SAP!M362</f>
        <v>0</v>
      </c>
      <c r="N362" s="34">
        <f>[1]FPG!N362+'[1]C.E.'!N362+[1]SAP!N362</f>
        <v>0</v>
      </c>
      <c r="O362" s="34">
        <f>[1]FPG!O362+'[1]C.E.'!O362+[1]SAP!O362</f>
        <v>0</v>
      </c>
      <c r="P362" s="34">
        <f>[1]FPG!P362+'[1]C.E.'!P362+[1]SAP!P362</f>
        <v>0</v>
      </c>
      <c r="Q362" s="34">
        <f>[1]FPG!Q362+'[1]C.E.'!Q362+[1]SAP!Q362</f>
        <v>0</v>
      </c>
      <c r="R362" s="27"/>
      <c r="S362" s="35">
        <f t="shared" si="57"/>
        <v>0</v>
      </c>
      <c r="T362" s="36">
        <f t="shared" si="56"/>
        <v>0</v>
      </c>
      <c r="V362" s="21">
        <f>S362-[1]FPG!S362-'[1]C.E.'!S362</f>
        <v>0</v>
      </c>
      <c r="W362" s="22"/>
    </row>
    <row r="363" spans="1:23" hidden="1" outlineLevel="1" x14ac:dyDescent="0.2">
      <c r="A363" s="9"/>
      <c r="B363" s="30"/>
      <c r="C363" s="31">
        <v>400251</v>
      </c>
      <c r="D363" s="32" t="s">
        <v>343</v>
      </c>
      <c r="E363" s="33"/>
      <c r="F363" s="34">
        <f>[1]FPG!F363+'[1]C.E.'!F363+[1]SAP!F363</f>
        <v>0</v>
      </c>
      <c r="G363" s="34">
        <f>[1]FPG!G363+'[1]C.E.'!G363+[1]SAP!G363</f>
        <v>0</v>
      </c>
      <c r="H363" s="34">
        <f>[1]FPG!H363+'[1]C.E.'!H363+[1]SAP!H363</f>
        <v>0</v>
      </c>
      <c r="I363" s="34">
        <f>[1]FPG!I363+'[1]C.E.'!I363+[1]SAP!I363</f>
        <v>0</v>
      </c>
      <c r="J363" s="34">
        <f>[1]FPG!J363+'[1]C.E.'!J363+[1]SAP!J363</f>
        <v>0</v>
      </c>
      <c r="K363" s="34">
        <f>[1]FPG!K363+'[1]C.E.'!K363+[1]SAP!K363</f>
        <v>0</v>
      </c>
      <c r="L363" s="34">
        <f>[1]FPG!L363+'[1]C.E.'!L363+[1]SAP!L363</f>
        <v>0</v>
      </c>
      <c r="M363" s="34">
        <f>[1]FPG!M363+'[1]C.E.'!M363+[1]SAP!M363</f>
        <v>0</v>
      </c>
      <c r="N363" s="34">
        <f>[1]FPG!N363+'[1]C.E.'!N363+[1]SAP!N363</f>
        <v>0</v>
      </c>
      <c r="O363" s="34">
        <f>[1]FPG!O363+'[1]C.E.'!O363+[1]SAP!O363</f>
        <v>0</v>
      </c>
      <c r="P363" s="34">
        <f>[1]FPG!P363+'[1]C.E.'!P363+[1]SAP!P363</f>
        <v>0</v>
      </c>
      <c r="Q363" s="34">
        <f>[1]FPG!Q363+'[1]C.E.'!Q363+[1]SAP!Q363</f>
        <v>0</v>
      </c>
      <c r="R363" s="27"/>
      <c r="S363" s="35">
        <f t="shared" si="57"/>
        <v>0</v>
      </c>
      <c r="T363" s="36">
        <f t="shared" si="56"/>
        <v>0</v>
      </c>
      <c r="V363" s="21">
        <f>S363-[1]FPG!S363-'[1]C.E.'!S363</f>
        <v>0</v>
      </c>
      <c r="W363" s="22"/>
    </row>
    <row r="364" spans="1:23" outlineLevel="1" x14ac:dyDescent="0.2">
      <c r="A364" s="9"/>
      <c r="B364" s="30"/>
      <c r="C364" s="31">
        <v>400252</v>
      </c>
      <c r="D364" s="32" t="s">
        <v>344</v>
      </c>
      <c r="E364" s="33"/>
      <c r="F364" s="34">
        <f>[1]FPG!F364+'[1]C.E.'!F364+[1]SAP!F364</f>
        <v>250</v>
      </c>
      <c r="G364" s="34">
        <f>[1]FPG!G364+'[1]C.E.'!G364+[1]SAP!G364</f>
        <v>250</v>
      </c>
      <c r="H364" s="34">
        <f>[1]FPG!H364+'[1]C.E.'!H364+[1]SAP!H364</f>
        <v>250</v>
      </c>
      <c r="I364" s="34">
        <f>[1]FPG!I364+'[1]C.E.'!I364+[1]SAP!I364</f>
        <v>250</v>
      </c>
      <c r="J364" s="34">
        <f>[1]FPG!J364+'[1]C.E.'!J364+[1]SAP!J364</f>
        <v>250</v>
      </c>
      <c r="K364" s="34">
        <f>[1]FPG!K364+'[1]C.E.'!K364+[1]SAP!K364</f>
        <v>250</v>
      </c>
      <c r="L364" s="34">
        <f>[1]FPG!L364+'[1]C.E.'!L364+[1]SAP!L364</f>
        <v>250</v>
      </c>
      <c r="M364" s="34">
        <f>[1]FPG!M364+'[1]C.E.'!M364+[1]SAP!M364</f>
        <v>250</v>
      </c>
      <c r="N364" s="34">
        <f>[1]FPG!N364+'[1]C.E.'!N364+[1]SAP!N364</f>
        <v>250</v>
      </c>
      <c r="O364" s="34">
        <f>[1]FPG!O364+'[1]C.E.'!O364+[1]SAP!O364</f>
        <v>250</v>
      </c>
      <c r="P364" s="34">
        <f>[1]FPG!P364+'[1]C.E.'!P364+[1]SAP!P364</f>
        <v>250</v>
      </c>
      <c r="Q364" s="34">
        <f>[1]FPG!Q364+'[1]C.E.'!Q364+[1]SAP!Q364</f>
        <v>250</v>
      </c>
      <c r="R364" s="27"/>
      <c r="S364" s="35">
        <f t="shared" si="57"/>
        <v>3000</v>
      </c>
      <c r="T364" s="36">
        <f t="shared" si="56"/>
        <v>2.5631970603550829E-4</v>
      </c>
      <c r="V364" s="21">
        <f>S364-[1]FPG!S364-'[1]C.E.'!S364</f>
        <v>0</v>
      </c>
      <c r="W364" s="22"/>
    </row>
    <row r="365" spans="1:23" hidden="1" outlineLevel="1" x14ac:dyDescent="0.2">
      <c r="A365" s="9"/>
      <c r="B365" s="30"/>
      <c r="C365" s="31">
        <v>400253</v>
      </c>
      <c r="D365" s="32" t="s">
        <v>345</v>
      </c>
      <c r="E365" s="33"/>
      <c r="F365" s="34">
        <f>[1]FPG!F365+'[1]C.E.'!F365+[1]SAP!F365</f>
        <v>0</v>
      </c>
      <c r="G365" s="34">
        <f>[1]FPG!G365+'[1]C.E.'!G365+[1]SAP!G365</f>
        <v>0</v>
      </c>
      <c r="H365" s="34">
        <f>[1]FPG!H365+'[1]C.E.'!H365+[1]SAP!H365</f>
        <v>0</v>
      </c>
      <c r="I365" s="34">
        <f>[1]FPG!I365+'[1]C.E.'!I365+[1]SAP!I365</f>
        <v>0</v>
      </c>
      <c r="J365" s="34">
        <f>[1]FPG!J365+'[1]C.E.'!J365+[1]SAP!J365</f>
        <v>0</v>
      </c>
      <c r="K365" s="34">
        <f>[1]FPG!K365+'[1]C.E.'!K365+[1]SAP!K365</f>
        <v>0</v>
      </c>
      <c r="L365" s="34">
        <f>[1]FPG!L365+'[1]C.E.'!L365+[1]SAP!L365</f>
        <v>0</v>
      </c>
      <c r="M365" s="34">
        <f>[1]FPG!M365+'[1]C.E.'!M365+[1]SAP!M365</f>
        <v>0</v>
      </c>
      <c r="N365" s="34">
        <f>[1]FPG!N365+'[1]C.E.'!N365+[1]SAP!N365</f>
        <v>0</v>
      </c>
      <c r="O365" s="34">
        <f>[1]FPG!O365+'[1]C.E.'!O365+[1]SAP!O365</f>
        <v>0</v>
      </c>
      <c r="P365" s="34">
        <f>[1]FPG!P365+'[1]C.E.'!P365+[1]SAP!P365</f>
        <v>0</v>
      </c>
      <c r="Q365" s="34">
        <f>[1]FPG!Q365+'[1]C.E.'!Q365+[1]SAP!Q365</f>
        <v>0</v>
      </c>
      <c r="R365" s="27"/>
      <c r="S365" s="35">
        <f t="shared" si="57"/>
        <v>0</v>
      </c>
      <c r="T365" s="36">
        <f t="shared" si="56"/>
        <v>0</v>
      </c>
      <c r="V365" s="21">
        <f>S365-[1]FPG!S365-'[1]C.E.'!S365</f>
        <v>0</v>
      </c>
      <c r="W365" s="22"/>
    </row>
    <row r="366" spans="1:23" hidden="1" outlineLevel="1" x14ac:dyDescent="0.2">
      <c r="A366" s="9"/>
      <c r="B366" s="30"/>
      <c r="C366" s="31">
        <v>400254</v>
      </c>
      <c r="D366" s="83" t="s">
        <v>346</v>
      </c>
      <c r="E366" s="33"/>
      <c r="F366" s="34">
        <f>[1]FPG!F366+'[1]C.E.'!F366+[1]SAP!F366</f>
        <v>0</v>
      </c>
      <c r="G366" s="34">
        <f>[1]FPG!G366+'[1]C.E.'!G366+[1]SAP!G366</f>
        <v>0</v>
      </c>
      <c r="H366" s="34">
        <f>[1]FPG!H366+'[1]C.E.'!H366+[1]SAP!H366</f>
        <v>0</v>
      </c>
      <c r="I366" s="34">
        <f>[1]FPG!I366+'[1]C.E.'!I366+[1]SAP!I366</f>
        <v>0</v>
      </c>
      <c r="J366" s="34">
        <f>[1]FPG!J366+'[1]C.E.'!J366+[1]SAP!J366</f>
        <v>0</v>
      </c>
      <c r="K366" s="34">
        <f>[1]FPG!K366+'[1]C.E.'!K366+[1]SAP!K366</f>
        <v>0</v>
      </c>
      <c r="L366" s="34">
        <f>[1]FPG!L366+'[1]C.E.'!L366+[1]SAP!L366</f>
        <v>0</v>
      </c>
      <c r="M366" s="34">
        <f>[1]FPG!M366+'[1]C.E.'!M366+[1]SAP!M366</f>
        <v>0</v>
      </c>
      <c r="N366" s="34">
        <f>[1]FPG!N366+'[1]C.E.'!N366+[1]SAP!N366</f>
        <v>0</v>
      </c>
      <c r="O366" s="34">
        <f>[1]FPG!O366+'[1]C.E.'!O366+[1]SAP!O366</f>
        <v>0</v>
      </c>
      <c r="P366" s="34">
        <f>[1]FPG!P366+'[1]C.E.'!P366+[1]SAP!P366</f>
        <v>0</v>
      </c>
      <c r="Q366" s="34">
        <f>[1]FPG!Q366+'[1]C.E.'!Q366+[1]SAP!Q366</f>
        <v>0</v>
      </c>
      <c r="R366" s="27"/>
      <c r="S366" s="35">
        <f t="shared" si="57"/>
        <v>0</v>
      </c>
      <c r="T366" s="36">
        <f t="shared" si="56"/>
        <v>0</v>
      </c>
      <c r="V366" s="21">
        <f>S366-[1]FPG!S366-'[1]C.E.'!S366</f>
        <v>0</v>
      </c>
      <c r="W366" s="22"/>
    </row>
    <row r="367" spans="1:23" hidden="1" outlineLevel="1" x14ac:dyDescent="0.2">
      <c r="A367" s="9"/>
      <c r="B367" s="30"/>
      <c r="C367" s="31">
        <v>400255</v>
      </c>
      <c r="D367" s="32" t="s">
        <v>347</v>
      </c>
      <c r="E367" s="33"/>
      <c r="F367" s="34">
        <f>[1]FPG!F367+'[1]C.E.'!F367+[1]SAP!F367</f>
        <v>0</v>
      </c>
      <c r="G367" s="34">
        <f>[1]FPG!G367+'[1]C.E.'!G367+[1]SAP!G367</f>
        <v>0</v>
      </c>
      <c r="H367" s="34">
        <f>[1]FPG!H367+'[1]C.E.'!H367+[1]SAP!H367</f>
        <v>0</v>
      </c>
      <c r="I367" s="34">
        <f>[1]FPG!I367+'[1]C.E.'!I367+[1]SAP!I367</f>
        <v>0</v>
      </c>
      <c r="J367" s="34">
        <f>[1]FPG!J367+'[1]C.E.'!J367+[1]SAP!J367</f>
        <v>0</v>
      </c>
      <c r="K367" s="34">
        <f>[1]FPG!K367+'[1]C.E.'!K367+[1]SAP!K367</f>
        <v>0</v>
      </c>
      <c r="L367" s="34">
        <f>[1]FPG!L367+'[1]C.E.'!L367+[1]SAP!L367</f>
        <v>0</v>
      </c>
      <c r="M367" s="34">
        <f>[1]FPG!M367+'[1]C.E.'!M367+[1]SAP!M367</f>
        <v>0</v>
      </c>
      <c r="N367" s="34">
        <f>[1]FPG!N367+'[1]C.E.'!N367+[1]SAP!N367</f>
        <v>0</v>
      </c>
      <c r="O367" s="34">
        <f>[1]FPG!O367+'[1]C.E.'!O367+[1]SAP!O367</f>
        <v>0</v>
      </c>
      <c r="P367" s="34">
        <f>[1]FPG!P367+'[1]C.E.'!P367+[1]SAP!P367</f>
        <v>0</v>
      </c>
      <c r="Q367" s="34">
        <f>[1]FPG!Q367+'[1]C.E.'!Q367+[1]SAP!Q367</f>
        <v>0</v>
      </c>
      <c r="R367" s="27"/>
      <c r="S367" s="35">
        <f t="shared" si="57"/>
        <v>0</v>
      </c>
      <c r="T367" s="36">
        <f t="shared" si="56"/>
        <v>0</v>
      </c>
      <c r="V367" s="21">
        <f>S367-[1]FPG!S367-'[1]C.E.'!S367</f>
        <v>0</v>
      </c>
      <c r="W367" s="22"/>
    </row>
    <row r="368" spans="1:23" hidden="1" outlineLevel="1" x14ac:dyDescent="0.2">
      <c r="A368" s="9"/>
      <c r="B368" s="30"/>
      <c r="C368" s="31">
        <v>400259</v>
      </c>
      <c r="D368" s="32" t="s">
        <v>348</v>
      </c>
      <c r="E368" s="33"/>
      <c r="F368" s="34">
        <f>[1]FPG!F368+'[1]C.E.'!F368+[1]SAP!F368</f>
        <v>0</v>
      </c>
      <c r="G368" s="34">
        <f>[1]FPG!G368+'[1]C.E.'!G368+[1]SAP!G368</f>
        <v>0</v>
      </c>
      <c r="H368" s="34">
        <f>[1]FPG!H368+'[1]C.E.'!H368+[1]SAP!H368</f>
        <v>0</v>
      </c>
      <c r="I368" s="34">
        <f>[1]FPG!I368+'[1]C.E.'!I368+[1]SAP!I368</f>
        <v>0</v>
      </c>
      <c r="J368" s="34">
        <f>[1]FPG!J368+'[1]C.E.'!J368+[1]SAP!J368</f>
        <v>0</v>
      </c>
      <c r="K368" s="34">
        <f>[1]FPG!K368+'[1]C.E.'!K368+[1]SAP!K368</f>
        <v>0</v>
      </c>
      <c r="L368" s="34">
        <f>[1]FPG!L368+'[1]C.E.'!L368+[1]SAP!L368</f>
        <v>0</v>
      </c>
      <c r="M368" s="34">
        <f>[1]FPG!M368+'[1]C.E.'!M368+[1]SAP!M368</f>
        <v>0</v>
      </c>
      <c r="N368" s="34">
        <f>[1]FPG!N368+'[1]C.E.'!N368+[1]SAP!N368</f>
        <v>0</v>
      </c>
      <c r="O368" s="34">
        <f>[1]FPG!O368+'[1]C.E.'!O368+[1]SAP!O368</f>
        <v>0</v>
      </c>
      <c r="P368" s="34">
        <f>[1]FPG!P368+'[1]C.E.'!P368+[1]SAP!P368</f>
        <v>0</v>
      </c>
      <c r="Q368" s="34">
        <f>[1]FPG!Q368+'[1]C.E.'!Q368+[1]SAP!Q368</f>
        <v>0</v>
      </c>
      <c r="R368" s="27"/>
      <c r="S368" s="35">
        <f t="shared" si="57"/>
        <v>0</v>
      </c>
      <c r="T368" s="36">
        <f t="shared" si="56"/>
        <v>0</v>
      </c>
      <c r="V368" s="21">
        <f>S368-[1]FPG!S368-'[1]C.E.'!S368</f>
        <v>0</v>
      </c>
      <c r="W368" s="22"/>
    </row>
    <row r="369" spans="1:23" hidden="1" outlineLevel="1" x14ac:dyDescent="0.2">
      <c r="A369" s="9"/>
      <c r="B369" s="30"/>
      <c r="C369" s="31">
        <v>400257</v>
      </c>
      <c r="D369" s="32" t="s">
        <v>349</v>
      </c>
      <c r="E369" s="33"/>
      <c r="F369" s="34">
        <f>[1]FPG!F369+'[1]C.E.'!F369+[1]SAP!F369</f>
        <v>0</v>
      </c>
      <c r="G369" s="34">
        <f>[1]FPG!G369+'[1]C.E.'!G369+[1]SAP!G369</f>
        <v>0</v>
      </c>
      <c r="H369" s="34">
        <f>[1]FPG!H369+'[1]C.E.'!H369+[1]SAP!H369</f>
        <v>0</v>
      </c>
      <c r="I369" s="34">
        <f>[1]FPG!I369+'[1]C.E.'!I369+[1]SAP!I369</f>
        <v>0</v>
      </c>
      <c r="J369" s="34">
        <f>[1]FPG!J369+'[1]C.E.'!J369+[1]SAP!J369</f>
        <v>0</v>
      </c>
      <c r="K369" s="34">
        <f>[1]FPG!K369+'[1]C.E.'!K369+[1]SAP!K369</f>
        <v>0</v>
      </c>
      <c r="L369" s="34">
        <f>[1]FPG!L369+'[1]C.E.'!L369+[1]SAP!L369</f>
        <v>0</v>
      </c>
      <c r="M369" s="34">
        <f>[1]FPG!M369+'[1]C.E.'!M369+[1]SAP!M369</f>
        <v>0</v>
      </c>
      <c r="N369" s="34">
        <f>[1]FPG!N369+'[1]C.E.'!N369+[1]SAP!N369</f>
        <v>0</v>
      </c>
      <c r="O369" s="34">
        <f>[1]FPG!O369+'[1]C.E.'!O369+[1]SAP!O369</f>
        <v>0</v>
      </c>
      <c r="P369" s="34">
        <f>[1]FPG!P369+'[1]C.E.'!P369+[1]SAP!P369</f>
        <v>0</v>
      </c>
      <c r="Q369" s="34">
        <f>[1]FPG!Q369+'[1]C.E.'!Q369+[1]SAP!Q369</f>
        <v>0</v>
      </c>
      <c r="R369" s="27"/>
      <c r="S369" s="35">
        <f t="shared" si="57"/>
        <v>0</v>
      </c>
      <c r="T369" s="36">
        <f t="shared" si="56"/>
        <v>0</v>
      </c>
      <c r="V369" s="21">
        <f>S369-[1]FPG!S369-'[1]C.E.'!S369</f>
        <v>0</v>
      </c>
      <c r="W369" s="22"/>
    </row>
    <row r="370" spans="1:23" hidden="1" outlineLevel="1" x14ac:dyDescent="0.2">
      <c r="A370" s="9"/>
      <c r="B370" s="30"/>
      <c r="C370" s="31">
        <v>400258</v>
      </c>
      <c r="D370" s="32" t="s">
        <v>350</v>
      </c>
      <c r="E370" s="33"/>
      <c r="F370" s="34">
        <f>[1]FPG!F370+'[1]C.E.'!F370+[1]SAP!F370</f>
        <v>0</v>
      </c>
      <c r="G370" s="34">
        <f>[1]FPG!G370+'[1]C.E.'!G370+[1]SAP!G370</f>
        <v>0</v>
      </c>
      <c r="H370" s="34">
        <f>[1]FPG!H370+'[1]C.E.'!H370+[1]SAP!H370</f>
        <v>0</v>
      </c>
      <c r="I370" s="34">
        <f>[1]FPG!I370+'[1]C.E.'!I370+[1]SAP!I370</f>
        <v>0</v>
      </c>
      <c r="J370" s="34">
        <f>[1]FPG!J370+'[1]C.E.'!J370+[1]SAP!J370</f>
        <v>0</v>
      </c>
      <c r="K370" s="34">
        <f>[1]FPG!K370+'[1]C.E.'!K370+[1]SAP!K370</f>
        <v>0</v>
      </c>
      <c r="L370" s="34">
        <f>[1]FPG!L370+'[1]C.E.'!L370+[1]SAP!L370</f>
        <v>0</v>
      </c>
      <c r="M370" s="34">
        <f>[1]FPG!M370+'[1]C.E.'!M370+[1]SAP!M370</f>
        <v>0</v>
      </c>
      <c r="N370" s="34">
        <f>[1]FPG!N370+'[1]C.E.'!N370+[1]SAP!N370</f>
        <v>0</v>
      </c>
      <c r="O370" s="34">
        <f>[1]FPG!O370+'[1]C.E.'!O370+[1]SAP!O370</f>
        <v>0</v>
      </c>
      <c r="P370" s="34">
        <f>[1]FPG!P370+'[1]C.E.'!P370+[1]SAP!P370</f>
        <v>0</v>
      </c>
      <c r="Q370" s="34">
        <f>[1]FPG!Q370+'[1]C.E.'!Q370+[1]SAP!Q370</f>
        <v>0</v>
      </c>
      <c r="R370" s="27"/>
      <c r="S370" s="35">
        <f t="shared" si="57"/>
        <v>0</v>
      </c>
      <c r="T370" s="36">
        <f t="shared" si="56"/>
        <v>0</v>
      </c>
      <c r="V370" s="21">
        <f>S370-[1]FPG!S370-'[1]C.E.'!S370</f>
        <v>0</v>
      </c>
      <c r="W370" s="22"/>
    </row>
    <row r="371" spans="1:23" hidden="1" outlineLevel="1" x14ac:dyDescent="0.2">
      <c r="A371" s="9"/>
      <c r="B371" s="30"/>
      <c r="C371" s="31">
        <v>400260</v>
      </c>
      <c r="D371" s="32" t="s">
        <v>351</v>
      </c>
      <c r="E371" s="33"/>
      <c r="F371" s="34">
        <f>[1]FPG!F371+'[1]C.E.'!F371+[1]SAP!F371</f>
        <v>0</v>
      </c>
      <c r="G371" s="34">
        <f>[1]FPG!G371+'[1]C.E.'!G371+[1]SAP!G371</f>
        <v>0</v>
      </c>
      <c r="H371" s="34">
        <f>[1]FPG!H371+'[1]C.E.'!H371+[1]SAP!H371</f>
        <v>0</v>
      </c>
      <c r="I371" s="34">
        <f>[1]FPG!I371+'[1]C.E.'!I371+[1]SAP!I371</f>
        <v>0</v>
      </c>
      <c r="J371" s="34">
        <f>[1]FPG!J371+'[1]C.E.'!J371+[1]SAP!J371</f>
        <v>0</v>
      </c>
      <c r="K371" s="34">
        <f>[1]FPG!K371+'[1]C.E.'!K371+[1]SAP!K371</f>
        <v>0</v>
      </c>
      <c r="L371" s="34">
        <f>[1]FPG!L371+'[1]C.E.'!L371+[1]SAP!L371</f>
        <v>0</v>
      </c>
      <c r="M371" s="34">
        <f>[1]FPG!M371+'[1]C.E.'!M371+[1]SAP!M371</f>
        <v>0</v>
      </c>
      <c r="N371" s="34">
        <f>[1]FPG!N371+'[1]C.E.'!N371+[1]SAP!N371</f>
        <v>0</v>
      </c>
      <c r="O371" s="34">
        <f>[1]FPG!O371+'[1]C.E.'!O371+[1]SAP!O371</f>
        <v>0</v>
      </c>
      <c r="P371" s="34">
        <f>[1]FPG!P371+'[1]C.E.'!P371+[1]SAP!P371</f>
        <v>0</v>
      </c>
      <c r="Q371" s="34">
        <f>[1]FPG!Q371+'[1]C.E.'!Q371+[1]SAP!Q371</f>
        <v>0</v>
      </c>
      <c r="R371" s="27"/>
      <c r="S371" s="35">
        <f t="shared" si="57"/>
        <v>0</v>
      </c>
      <c r="T371" s="36">
        <f t="shared" si="56"/>
        <v>0</v>
      </c>
      <c r="V371" s="21">
        <f>S371-[1]FPG!S371-'[1]C.E.'!S371</f>
        <v>0</v>
      </c>
      <c r="W371" s="22"/>
    </row>
    <row r="372" spans="1:23" outlineLevel="1" x14ac:dyDescent="0.2">
      <c r="A372" s="9"/>
      <c r="B372" s="30"/>
      <c r="C372" s="31">
        <v>400264</v>
      </c>
      <c r="D372" s="32" t="s">
        <v>352</v>
      </c>
      <c r="E372" s="33"/>
      <c r="F372" s="34">
        <f>[1]FPG!F372+'[1]C.E.'!F372+[1]SAP!F372</f>
        <v>2625</v>
      </c>
      <c r="G372" s="34">
        <f>[1]FPG!G372+'[1]C.E.'!G372+[1]SAP!G372</f>
        <v>2625</v>
      </c>
      <c r="H372" s="34">
        <f>[1]FPG!H372+'[1]C.E.'!H372+[1]SAP!H372</f>
        <v>2625</v>
      </c>
      <c r="I372" s="34">
        <f>[1]FPG!I372+'[1]C.E.'!I372+[1]SAP!I372</f>
        <v>2625</v>
      </c>
      <c r="J372" s="34">
        <f>[1]FPG!J372+'[1]C.E.'!J372+[1]SAP!J372</f>
        <v>2625</v>
      </c>
      <c r="K372" s="34">
        <f>[1]FPG!K372+'[1]C.E.'!K372+[1]SAP!K372</f>
        <v>2625</v>
      </c>
      <c r="L372" s="34">
        <f>[1]FPG!L372+'[1]C.E.'!L372+[1]SAP!L372</f>
        <v>2625</v>
      </c>
      <c r="M372" s="34">
        <f>[1]FPG!M372+'[1]C.E.'!M372+[1]SAP!M372</f>
        <v>2625</v>
      </c>
      <c r="N372" s="34">
        <f>[1]FPG!N372+'[1]C.E.'!N372+[1]SAP!N372</f>
        <v>2625</v>
      </c>
      <c r="O372" s="34">
        <f>[1]FPG!O372+'[1]C.E.'!O372+[1]SAP!O372</f>
        <v>2625</v>
      </c>
      <c r="P372" s="34">
        <f>[1]FPG!P372+'[1]C.E.'!P372+[1]SAP!P372</f>
        <v>2625</v>
      </c>
      <c r="Q372" s="34">
        <f>[1]FPG!Q372+'[1]C.E.'!Q372+[1]SAP!Q372</f>
        <v>2625</v>
      </c>
      <c r="R372" s="27"/>
      <c r="S372" s="35">
        <f t="shared" si="57"/>
        <v>31500</v>
      </c>
      <c r="T372" s="36">
        <f t="shared" si="56"/>
        <v>2.6913569133728372E-3</v>
      </c>
      <c r="V372" s="21">
        <f>S372-[1]FPG!S372-'[1]C.E.'!S372</f>
        <v>0</v>
      </c>
      <c r="W372" s="22"/>
    </row>
    <row r="373" spans="1:23" outlineLevel="1" x14ac:dyDescent="0.2">
      <c r="A373" s="9"/>
      <c r="B373" s="30"/>
      <c r="C373" s="31">
        <v>400266</v>
      </c>
      <c r="D373" s="32" t="s">
        <v>353</v>
      </c>
      <c r="E373" s="33"/>
      <c r="F373" s="34">
        <f>[1]FPG!F373+'[1]C.E.'!F373+[1]SAP!F373</f>
        <v>500</v>
      </c>
      <c r="G373" s="34">
        <f>[1]FPG!G373+'[1]C.E.'!G373+[1]SAP!G373</f>
        <v>500</v>
      </c>
      <c r="H373" s="34">
        <f>[1]FPG!H373+'[1]C.E.'!H373+[1]SAP!H373</f>
        <v>500</v>
      </c>
      <c r="I373" s="34">
        <f>[1]FPG!I373+'[1]C.E.'!I373+[1]SAP!I373</f>
        <v>500</v>
      </c>
      <c r="J373" s="34">
        <f>[1]FPG!J373+'[1]C.E.'!J373+[1]SAP!J373</f>
        <v>500</v>
      </c>
      <c r="K373" s="34">
        <f>[1]FPG!K373+'[1]C.E.'!K373+[1]SAP!K373</f>
        <v>500</v>
      </c>
      <c r="L373" s="34">
        <f>[1]FPG!L373+'[1]C.E.'!L373+[1]SAP!L373</f>
        <v>500</v>
      </c>
      <c r="M373" s="34">
        <f>[1]FPG!M373+'[1]C.E.'!M373+[1]SAP!M373</f>
        <v>500</v>
      </c>
      <c r="N373" s="34">
        <f>[1]FPG!N373+'[1]C.E.'!N373+[1]SAP!N373</f>
        <v>500</v>
      </c>
      <c r="O373" s="34">
        <f>[1]FPG!O373+'[1]C.E.'!O373+[1]SAP!O373</f>
        <v>500</v>
      </c>
      <c r="P373" s="34">
        <f>[1]FPG!P373+'[1]C.E.'!P373+[1]SAP!P373</f>
        <v>500</v>
      </c>
      <c r="Q373" s="34">
        <f>[1]FPG!Q373+'[1]C.E.'!Q373+[1]SAP!Q373</f>
        <v>500</v>
      </c>
      <c r="R373" s="27"/>
      <c r="S373" s="35">
        <f t="shared" si="57"/>
        <v>6000</v>
      </c>
      <c r="T373" s="36">
        <f t="shared" si="56"/>
        <v>5.1263941207101659E-4</v>
      </c>
      <c r="V373" s="21">
        <f>S373-[1]FPG!S373-'[1]C.E.'!S373</f>
        <v>0</v>
      </c>
      <c r="W373" s="22"/>
    </row>
    <row r="374" spans="1:23" outlineLevel="1" x14ac:dyDescent="0.2">
      <c r="A374" s="9"/>
      <c r="B374" s="30"/>
      <c r="C374" s="31">
        <v>400267</v>
      </c>
      <c r="D374" s="32" t="s">
        <v>354</v>
      </c>
      <c r="E374" s="33"/>
      <c r="F374" s="34">
        <f>[1]FPG!F374+'[1]C.E.'!F374+[1]SAP!F374</f>
        <v>250</v>
      </c>
      <c r="G374" s="34">
        <f>[1]FPG!G374+'[1]C.E.'!G374+[1]SAP!G374</f>
        <v>250</v>
      </c>
      <c r="H374" s="34">
        <f>[1]FPG!H374+'[1]C.E.'!H374+[1]SAP!H374</f>
        <v>250</v>
      </c>
      <c r="I374" s="34">
        <f>[1]FPG!I374+'[1]C.E.'!I374+[1]SAP!I374</f>
        <v>250</v>
      </c>
      <c r="J374" s="34">
        <f>[1]FPG!J374+'[1]C.E.'!J374+[1]SAP!J374</f>
        <v>250</v>
      </c>
      <c r="K374" s="34">
        <f>[1]FPG!K374+'[1]C.E.'!K374+[1]SAP!K374</f>
        <v>250</v>
      </c>
      <c r="L374" s="34">
        <f>[1]FPG!L374+'[1]C.E.'!L374+[1]SAP!L374</f>
        <v>250</v>
      </c>
      <c r="M374" s="34">
        <f>[1]FPG!M374+'[1]C.E.'!M374+[1]SAP!M374</f>
        <v>250</v>
      </c>
      <c r="N374" s="34">
        <f>[1]FPG!N374+'[1]C.E.'!N374+[1]SAP!N374</f>
        <v>250</v>
      </c>
      <c r="O374" s="34">
        <f>[1]FPG!O374+'[1]C.E.'!O374+[1]SAP!O374</f>
        <v>250</v>
      </c>
      <c r="P374" s="34">
        <f>[1]FPG!P374+'[1]C.E.'!P374+[1]SAP!P374</f>
        <v>250</v>
      </c>
      <c r="Q374" s="34">
        <f>[1]FPG!Q374+'[1]C.E.'!Q374+[1]SAP!Q374</f>
        <v>250</v>
      </c>
      <c r="R374" s="27"/>
      <c r="S374" s="35">
        <f t="shared" si="57"/>
        <v>3000</v>
      </c>
      <c r="T374" s="36">
        <f t="shared" si="56"/>
        <v>2.5631970603550829E-4</v>
      </c>
      <c r="V374" s="21">
        <f>S374-[1]FPG!S374-'[1]C.E.'!S374</f>
        <v>0</v>
      </c>
      <c r="W374" s="22"/>
    </row>
    <row r="375" spans="1:23" hidden="1" outlineLevel="1" x14ac:dyDescent="0.2">
      <c r="A375" s="9"/>
      <c r="B375" s="30"/>
      <c r="C375" s="31">
        <v>400268</v>
      </c>
      <c r="D375" s="32" t="s">
        <v>355</v>
      </c>
      <c r="E375" s="33"/>
      <c r="F375" s="34">
        <f>[1]FPG!F375+'[1]C.E.'!F375+[1]SAP!F375</f>
        <v>0</v>
      </c>
      <c r="G375" s="34">
        <f>[1]FPG!G375+'[1]C.E.'!G375+[1]SAP!G375</f>
        <v>0</v>
      </c>
      <c r="H375" s="34">
        <f>[1]FPG!H375+'[1]C.E.'!H375+[1]SAP!H375</f>
        <v>0</v>
      </c>
      <c r="I375" s="34">
        <f>[1]FPG!I375+'[1]C.E.'!I375+[1]SAP!I375</f>
        <v>0</v>
      </c>
      <c r="J375" s="34">
        <f>[1]FPG!J375+'[1]C.E.'!J375+[1]SAP!J375</f>
        <v>0</v>
      </c>
      <c r="K375" s="34">
        <f>[1]FPG!K375+'[1]C.E.'!K375+[1]SAP!K375</f>
        <v>0</v>
      </c>
      <c r="L375" s="34">
        <f>[1]FPG!L375+'[1]C.E.'!L375+[1]SAP!L375</f>
        <v>0</v>
      </c>
      <c r="M375" s="34">
        <f>[1]FPG!M375+'[1]C.E.'!M375+[1]SAP!M375</f>
        <v>0</v>
      </c>
      <c r="N375" s="34">
        <f>[1]FPG!N375+'[1]C.E.'!N375+[1]SAP!N375</f>
        <v>0</v>
      </c>
      <c r="O375" s="34">
        <f>[1]FPG!O375+'[1]C.E.'!O375+[1]SAP!O375</f>
        <v>0</v>
      </c>
      <c r="P375" s="34">
        <f>[1]FPG!P375+'[1]C.E.'!P375+[1]SAP!P375</f>
        <v>0</v>
      </c>
      <c r="Q375" s="34">
        <f>[1]FPG!Q375+'[1]C.E.'!Q375+[1]SAP!Q375</f>
        <v>0</v>
      </c>
      <c r="R375" s="27"/>
      <c r="S375" s="35">
        <f t="shared" si="57"/>
        <v>0</v>
      </c>
      <c r="T375" s="36">
        <f t="shared" si="56"/>
        <v>0</v>
      </c>
      <c r="V375" s="21">
        <f>S375-[1]FPG!S375-'[1]C.E.'!S375</f>
        <v>0</v>
      </c>
      <c r="W375" s="22"/>
    </row>
    <row r="376" spans="1:23" hidden="1" outlineLevel="1" x14ac:dyDescent="0.2">
      <c r="A376" s="9"/>
      <c r="B376" s="30"/>
      <c r="C376" s="31">
        <v>400269</v>
      </c>
      <c r="D376" s="32" t="s">
        <v>356</v>
      </c>
      <c r="E376" s="33"/>
      <c r="F376" s="34">
        <f>[1]FPG!F376+'[1]C.E.'!F376+[1]SAP!F376</f>
        <v>0</v>
      </c>
      <c r="G376" s="34">
        <f>[1]FPG!G376+'[1]C.E.'!G376+[1]SAP!G376</f>
        <v>0</v>
      </c>
      <c r="H376" s="34">
        <f>[1]FPG!H376+'[1]C.E.'!H376+[1]SAP!H376</f>
        <v>0</v>
      </c>
      <c r="I376" s="34">
        <f>[1]FPG!I376+'[1]C.E.'!I376+[1]SAP!I376</f>
        <v>0</v>
      </c>
      <c r="J376" s="34">
        <f>[1]FPG!J376+'[1]C.E.'!J376+[1]SAP!J376</f>
        <v>0</v>
      </c>
      <c r="K376" s="34">
        <f>[1]FPG!K376+'[1]C.E.'!K376+[1]SAP!K376</f>
        <v>0</v>
      </c>
      <c r="L376" s="34">
        <f>[1]FPG!L376+'[1]C.E.'!L376+[1]SAP!L376</f>
        <v>0</v>
      </c>
      <c r="M376" s="34">
        <f>[1]FPG!M376+'[1]C.E.'!M376+[1]SAP!M376</f>
        <v>0</v>
      </c>
      <c r="N376" s="34">
        <f>[1]FPG!N376+'[1]C.E.'!N376+[1]SAP!N376</f>
        <v>0</v>
      </c>
      <c r="O376" s="34">
        <f>[1]FPG!O376+'[1]C.E.'!O376+[1]SAP!O376</f>
        <v>0</v>
      </c>
      <c r="P376" s="34">
        <f>[1]FPG!P376+'[1]C.E.'!P376+[1]SAP!P376</f>
        <v>0</v>
      </c>
      <c r="Q376" s="34">
        <f>[1]FPG!Q376+'[1]C.E.'!Q376+[1]SAP!Q376</f>
        <v>0</v>
      </c>
      <c r="R376" s="27"/>
      <c r="S376" s="35">
        <f t="shared" si="57"/>
        <v>0</v>
      </c>
      <c r="T376" s="36">
        <f t="shared" si="56"/>
        <v>0</v>
      </c>
      <c r="V376" s="21">
        <f>S376-[1]FPG!S376-'[1]C.E.'!S376</f>
        <v>0</v>
      </c>
      <c r="W376" s="22"/>
    </row>
    <row r="377" spans="1:23" outlineLevel="1" x14ac:dyDescent="0.2">
      <c r="A377" s="9"/>
      <c r="B377" s="30"/>
      <c r="C377" s="31">
        <v>400276</v>
      </c>
      <c r="D377" s="32" t="s">
        <v>338</v>
      </c>
      <c r="E377" s="33"/>
      <c r="F377" s="34">
        <f>[1]FPG!F377+'[1]C.E.'!F377+[1]SAP!F377</f>
        <v>1583.3333333333333</v>
      </c>
      <c r="G377" s="34">
        <f>[1]FPG!G377+'[1]C.E.'!G377+[1]SAP!G377</f>
        <v>1583.3333333333333</v>
      </c>
      <c r="H377" s="34">
        <f>[1]FPG!H377+'[1]C.E.'!H377+[1]SAP!H377</f>
        <v>1583.3333333333333</v>
      </c>
      <c r="I377" s="34">
        <f>[1]FPG!I377+'[1]C.E.'!I377+[1]SAP!I377</f>
        <v>1583.3333333333333</v>
      </c>
      <c r="J377" s="34">
        <f>[1]FPG!J377+'[1]C.E.'!J377+[1]SAP!J377</f>
        <v>1583.3333333333333</v>
      </c>
      <c r="K377" s="34">
        <f>[1]FPG!K377+'[1]C.E.'!K377+[1]SAP!K377</f>
        <v>1583.3333333333333</v>
      </c>
      <c r="L377" s="34">
        <f>[1]FPG!L377+'[1]C.E.'!L377+[1]SAP!L377</f>
        <v>1583.3333333333333</v>
      </c>
      <c r="M377" s="34">
        <f>[1]FPG!M377+'[1]C.E.'!M377+[1]SAP!M377</f>
        <v>1583.3333333333333</v>
      </c>
      <c r="N377" s="34">
        <f>[1]FPG!N377+'[1]C.E.'!N377+[1]SAP!N377</f>
        <v>1583.3333333333333</v>
      </c>
      <c r="O377" s="34">
        <f>[1]FPG!O377+'[1]C.E.'!O377+[1]SAP!O377</f>
        <v>1583.3333333333333</v>
      </c>
      <c r="P377" s="34">
        <f>[1]FPG!P377+'[1]C.E.'!P377+[1]SAP!P377</f>
        <v>1583.3333333333333</v>
      </c>
      <c r="Q377" s="34">
        <f>[1]FPG!Q377+'[1]C.E.'!Q377+[1]SAP!Q377</f>
        <v>1583.3333333333333</v>
      </c>
      <c r="R377" s="27"/>
      <c r="S377" s="35">
        <f t="shared" si="57"/>
        <v>19000</v>
      </c>
      <c r="T377" s="36">
        <f t="shared" si="56"/>
        <v>1.6233581382248858E-3</v>
      </c>
      <c r="V377" s="21">
        <f>S377-[1]FPG!S377-'[1]C.E.'!S377</f>
        <v>0</v>
      </c>
      <c r="W377" s="22"/>
    </row>
    <row r="378" spans="1:23" hidden="1" outlineLevel="1" x14ac:dyDescent="0.2">
      <c r="A378" s="9"/>
      <c r="B378" s="30"/>
      <c r="C378" s="31">
        <v>400277</v>
      </c>
      <c r="D378" s="32" t="s">
        <v>357</v>
      </c>
      <c r="E378" s="33"/>
      <c r="F378" s="34">
        <f>[1]FPG!F378+'[1]C.E.'!F378+[1]SAP!F378</f>
        <v>0</v>
      </c>
      <c r="G378" s="34">
        <f>[1]FPG!G378+'[1]C.E.'!G378+[1]SAP!G378</f>
        <v>0</v>
      </c>
      <c r="H378" s="34">
        <f>[1]FPG!H378+'[1]C.E.'!H378+[1]SAP!H378</f>
        <v>0</v>
      </c>
      <c r="I378" s="34">
        <f>[1]FPG!I378+'[1]C.E.'!I378+[1]SAP!I378</f>
        <v>0</v>
      </c>
      <c r="J378" s="34">
        <f>[1]FPG!J378+'[1]C.E.'!J378+[1]SAP!J378</f>
        <v>0</v>
      </c>
      <c r="K378" s="34">
        <f>[1]FPG!K378+'[1]C.E.'!K378+[1]SAP!K378</f>
        <v>0</v>
      </c>
      <c r="L378" s="34">
        <f>[1]FPG!L378+'[1]C.E.'!L378+[1]SAP!L378</f>
        <v>0</v>
      </c>
      <c r="M378" s="34">
        <f>[1]FPG!M378+'[1]C.E.'!M378+[1]SAP!M378</f>
        <v>0</v>
      </c>
      <c r="N378" s="34">
        <f>[1]FPG!N378+'[1]C.E.'!N378+[1]SAP!N378</f>
        <v>0</v>
      </c>
      <c r="O378" s="34">
        <f>[1]FPG!O378+'[1]C.E.'!O378+[1]SAP!O378</f>
        <v>0</v>
      </c>
      <c r="P378" s="34">
        <f>[1]FPG!P378+'[1]C.E.'!P378+[1]SAP!P378</f>
        <v>0</v>
      </c>
      <c r="Q378" s="34">
        <f>[1]FPG!Q378+'[1]C.E.'!Q378+[1]SAP!Q378</f>
        <v>0</v>
      </c>
      <c r="R378" s="27"/>
      <c r="S378" s="35">
        <f t="shared" si="57"/>
        <v>0</v>
      </c>
      <c r="T378" s="36">
        <f t="shared" si="56"/>
        <v>0</v>
      </c>
      <c r="V378" s="21">
        <f>S378-[1]FPG!S378-'[1]C.E.'!S378</f>
        <v>0</v>
      </c>
      <c r="W378" s="22"/>
    </row>
    <row r="379" spans="1:23" hidden="1" outlineLevel="1" x14ac:dyDescent="0.2">
      <c r="A379" s="9"/>
      <c r="B379" s="30"/>
      <c r="C379" s="31">
        <v>400278</v>
      </c>
      <c r="D379" s="32" t="s">
        <v>358</v>
      </c>
      <c r="E379" s="33"/>
      <c r="F379" s="34">
        <f>[1]FPG!F379+'[1]C.E.'!F379+[1]SAP!F379</f>
        <v>0</v>
      </c>
      <c r="G379" s="34">
        <f>[1]FPG!G379+'[1]C.E.'!G379+[1]SAP!G379</f>
        <v>0</v>
      </c>
      <c r="H379" s="34">
        <f>[1]FPG!H379+'[1]C.E.'!H379+[1]SAP!H379</f>
        <v>0</v>
      </c>
      <c r="I379" s="34">
        <f>[1]FPG!I379+'[1]C.E.'!I379+[1]SAP!I379</f>
        <v>0</v>
      </c>
      <c r="J379" s="34">
        <f>[1]FPG!J379+'[1]C.E.'!J379+[1]SAP!J379</f>
        <v>0</v>
      </c>
      <c r="K379" s="34">
        <f>[1]FPG!K379+'[1]C.E.'!K379+[1]SAP!K379</f>
        <v>0</v>
      </c>
      <c r="L379" s="34">
        <f>[1]FPG!L379+'[1]C.E.'!L379+[1]SAP!L379</f>
        <v>0</v>
      </c>
      <c r="M379" s="34">
        <f>[1]FPG!M379+'[1]C.E.'!M379+[1]SAP!M379</f>
        <v>0</v>
      </c>
      <c r="N379" s="34">
        <f>[1]FPG!N379+'[1]C.E.'!N379+[1]SAP!N379</f>
        <v>0</v>
      </c>
      <c r="O379" s="34">
        <f>[1]FPG!O379+'[1]C.E.'!O379+[1]SAP!O379</f>
        <v>0</v>
      </c>
      <c r="P379" s="34">
        <f>[1]FPG!P379+'[1]C.E.'!P379+[1]SAP!P379</f>
        <v>0</v>
      </c>
      <c r="Q379" s="34">
        <f>[1]FPG!Q379+'[1]C.E.'!Q379+[1]SAP!Q379</f>
        <v>0</v>
      </c>
      <c r="R379" s="27"/>
      <c r="S379" s="35">
        <f t="shared" si="57"/>
        <v>0</v>
      </c>
      <c r="T379" s="36">
        <f t="shared" si="56"/>
        <v>0</v>
      </c>
      <c r="V379" s="21">
        <f>S379-[1]FPG!S379-'[1]C.E.'!S379</f>
        <v>0</v>
      </c>
      <c r="W379" s="22"/>
    </row>
    <row r="380" spans="1:23" hidden="1" outlineLevel="1" x14ac:dyDescent="0.2">
      <c r="A380" s="9"/>
      <c r="B380" s="30"/>
      <c r="C380" s="31">
        <v>400279</v>
      </c>
      <c r="D380" s="32" t="s">
        <v>359</v>
      </c>
      <c r="E380" s="33"/>
      <c r="F380" s="34">
        <f>[1]FPG!F380+'[1]C.E.'!F380+[1]SAP!F380</f>
        <v>0</v>
      </c>
      <c r="G380" s="34">
        <f>[1]FPG!G380+'[1]C.E.'!G380+[1]SAP!G380</f>
        <v>0</v>
      </c>
      <c r="H380" s="34">
        <f>[1]FPG!H380+'[1]C.E.'!H380+[1]SAP!H380</f>
        <v>0</v>
      </c>
      <c r="I380" s="34">
        <f>[1]FPG!I380+'[1]C.E.'!I380+[1]SAP!I380</f>
        <v>0</v>
      </c>
      <c r="J380" s="34">
        <f>[1]FPG!J380+'[1]C.E.'!J380+[1]SAP!J380</f>
        <v>0</v>
      </c>
      <c r="K380" s="34">
        <f>[1]FPG!K380+'[1]C.E.'!K380+[1]SAP!K380</f>
        <v>0</v>
      </c>
      <c r="L380" s="34">
        <f>[1]FPG!L380+'[1]C.E.'!L380+[1]SAP!L380</f>
        <v>0</v>
      </c>
      <c r="M380" s="34">
        <f>[1]FPG!M380+'[1]C.E.'!M380+[1]SAP!M380</f>
        <v>0</v>
      </c>
      <c r="N380" s="34">
        <f>[1]FPG!N380+'[1]C.E.'!N380+[1]SAP!N380</f>
        <v>0</v>
      </c>
      <c r="O380" s="34">
        <f>[1]FPG!O380+'[1]C.E.'!O380+[1]SAP!O380</f>
        <v>0</v>
      </c>
      <c r="P380" s="34">
        <f>[1]FPG!P380+'[1]C.E.'!P380+[1]SAP!P380</f>
        <v>0</v>
      </c>
      <c r="Q380" s="34">
        <f>[1]FPG!Q380+'[1]C.E.'!Q380+[1]SAP!Q380</f>
        <v>0</v>
      </c>
      <c r="R380" s="27"/>
      <c r="S380" s="35">
        <f t="shared" si="57"/>
        <v>0</v>
      </c>
      <c r="T380" s="36">
        <f t="shared" si="56"/>
        <v>0</v>
      </c>
      <c r="V380" s="21">
        <f>S380-[1]FPG!S380-'[1]C.E.'!S380</f>
        <v>0</v>
      </c>
      <c r="W380" s="22"/>
    </row>
    <row r="381" spans="1:23" x14ac:dyDescent="0.2">
      <c r="A381" s="9"/>
      <c r="B381" s="51" t="s">
        <v>360</v>
      </c>
      <c r="C381" s="49" t="s">
        <v>361</v>
      </c>
      <c r="D381" s="50"/>
      <c r="E381" s="51" t="s">
        <v>102</v>
      </c>
      <c r="F381" s="52">
        <f>SUM(F382:F384)</f>
        <v>311850.00000000006</v>
      </c>
      <c r="G381" s="52">
        <f>SUM(G382:G384)</f>
        <v>0</v>
      </c>
      <c r="H381" s="52">
        <f t="shared" ref="H381:Q381" si="58">SUM(H382:H384)</f>
        <v>0</v>
      </c>
      <c r="I381" s="52">
        <f t="shared" si="58"/>
        <v>311850.00000000006</v>
      </c>
      <c r="J381" s="52">
        <f t="shared" si="58"/>
        <v>0</v>
      </c>
      <c r="K381" s="52">
        <f t="shared" si="58"/>
        <v>0</v>
      </c>
      <c r="L381" s="52">
        <f t="shared" si="58"/>
        <v>311850.00000000006</v>
      </c>
      <c r="M381" s="52">
        <f t="shared" si="58"/>
        <v>0</v>
      </c>
      <c r="N381" s="52">
        <f t="shared" si="58"/>
        <v>0</v>
      </c>
      <c r="O381" s="52">
        <f t="shared" si="58"/>
        <v>311850.00000000006</v>
      </c>
      <c r="P381" s="52">
        <f t="shared" si="58"/>
        <v>0</v>
      </c>
      <c r="Q381" s="52">
        <f t="shared" si="58"/>
        <v>0</v>
      </c>
      <c r="R381" s="27"/>
      <c r="S381" s="28">
        <f t="shared" ref="S381:S384" si="59">SUM(F381:R381)</f>
        <v>1247400.0000000002</v>
      </c>
      <c r="T381" s="29">
        <f>S381/$S$43</f>
        <v>0.10657773376956436</v>
      </c>
      <c r="V381" s="21">
        <f>S381-[1]FPG!S381-'[1]C.E.'!S381</f>
        <v>0</v>
      </c>
      <c r="W381" s="22"/>
    </row>
    <row r="382" spans="1:23" outlineLevel="1" x14ac:dyDescent="0.2">
      <c r="A382" s="9"/>
      <c r="B382" s="30"/>
      <c r="C382" s="31">
        <v>400295</v>
      </c>
      <c r="D382" s="32" t="s">
        <v>362</v>
      </c>
      <c r="E382" s="33"/>
      <c r="F382" s="34">
        <f>[1]FPG!F382+'[1]C.E.'!F382+[1]SAP!F382</f>
        <v>297000.00000000006</v>
      </c>
      <c r="G382" s="34">
        <f>[1]FPG!G382+'[1]C.E.'!G382+[1]SAP!G382</f>
        <v>0</v>
      </c>
      <c r="H382" s="34">
        <f>[1]FPG!H382+'[1]C.E.'!H382+[1]SAP!H382</f>
        <v>0</v>
      </c>
      <c r="I382" s="34">
        <f>[1]FPG!I382+'[1]C.E.'!I382+[1]SAP!I382</f>
        <v>297000.00000000006</v>
      </c>
      <c r="J382" s="34">
        <f>[1]FPG!J382+'[1]C.E.'!J382+[1]SAP!J382</f>
        <v>0</v>
      </c>
      <c r="K382" s="34">
        <f>[1]FPG!K382+'[1]C.E.'!K382+[1]SAP!K382</f>
        <v>0</v>
      </c>
      <c r="L382" s="34">
        <f>[1]FPG!L382+'[1]C.E.'!L382+[1]SAP!L382</f>
        <v>297000.00000000006</v>
      </c>
      <c r="M382" s="34">
        <f>[1]FPG!M382+'[1]C.E.'!M382+[1]SAP!M382</f>
        <v>0</v>
      </c>
      <c r="N382" s="34">
        <f>[1]FPG!N382+'[1]C.E.'!N382+[1]SAP!N382</f>
        <v>0</v>
      </c>
      <c r="O382" s="34">
        <f>[1]FPG!O382+'[1]C.E.'!O382+[1]SAP!O382</f>
        <v>297000.00000000006</v>
      </c>
      <c r="P382" s="34">
        <f>[1]FPG!P382+'[1]C.E.'!P382+[1]SAP!P382</f>
        <v>0</v>
      </c>
      <c r="Q382" s="34">
        <f>[1]FPG!Q382+'[1]C.E.'!Q382+[1]SAP!Q382</f>
        <v>0</v>
      </c>
      <c r="R382" s="27"/>
      <c r="S382" s="35">
        <f t="shared" si="59"/>
        <v>1188000.0000000002</v>
      </c>
      <c r="T382" s="36">
        <f t="shared" ref="T382:T384" si="60">S382/$S$43</f>
        <v>0.1015026035900613</v>
      </c>
      <c r="V382" s="21">
        <f>S382-[1]FPG!S382-'[1]C.E.'!S382</f>
        <v>0</v>
      </c>
      <c r="W382" s="22"/>
    </row>
    <row r="383" spans="1:23" outlineLevel="1" x14ac:dyDescent="0.2">
      <c r="A383" s="9"/>
      <c r="B383" s="30"/>
      <c r="C383" s="31">
        <v>400296</v>
      </c>
      <c r="D383" s="32" t="s">
        <v>363</v>
      </c>
      <c r="E383" s="33"/>
      <c r="F383" s="34">
        <f>[1]FPG!F383+'[1]C.E.'!F383+[1]SAP!F383</f>
        <v>14850.000000000004</v>
      </c>
      <c r="G383" s="34">
        <f>[1]FPG!G383+'[1]C.E.'!G383+[1]SAP!G383</f>
        <v>0</v>
      </c>
      <c r="H383" s="34">
        <f>[1]FPG!H383+'[1]C.E.'!H383+[1]SAP!H383</f>
        <v>0</v>
      </c>
      <c r="I383" s="34">
        <f>[1]FPG!I383+'[1]C.E.'!I383+[1]SAP!I383</f>
        <v>14850.000000000004</v>
      </c>
      <c r="J383" s="34">
        <f>[1]FPG!J383+'[1]C.E.'!J383+[1]SAP!J383</f>
        <v>0</v>
      </c>
      <c r="K383" s="34">
        <f>[1]FPG!K383+'[1]C.E.'!K383+[1]SAP!K383</f>
        <v>0</v>
      </c>
      <c r="L383" s="34">
        <f>[1]FPG!L383+'[1]C.E.'!L383+[1]SAP!L383</f>
        <v>14850.000000000004</v>
      </c>
      <c r="M383" s="34">
        <f>[1]FPG!M383+'[1]C.E.'!M383+[1]SAP!M383</f>
        <v>0</v>
      </c>
      <c r="N383" s="34">
        <f>[1]FPG!N383+'[1]C.E.'!N383+[1]SAP!N383</f>
        <v>0</v>
      </c>
      <c r="O383" s="34">
        <f>[1]FPG!O383+'[1]C.E.'!O383+[1]SAP!O383</f>
        <v>14850.000000000004</v>
      </c>
      <c r="P383" s="34">
        <f>[1]FPG!P383+'[1]C.E.'!P383+[1]SAP!P383</f>
        <v>0</v>
      </c>
      <c r="Q383" s="34">
        <f>[1]FPG!Q383+'[1]C.E.'!Q383+[1]SAP!Q383</f>
        <v>0</v>
      </c>
      <c r="R383" s="27"/>
      <c r="S383" s="35">
        <f t="shared" si="59"/>
        <v>59400.000000000015</v>
      </c>
      <c r="T383" s="36">
        <f t="shared" si="60"/>
        <v>5.0751301795030649E-3</v>
      </c>
      <c r="V383" s="21">
        <f>S383-[1]FPG!S383-'[1]C.E.'!S383</f>
        <v>0</v>
      </c>
      <c r="W383" s="22"/>
    </row>
    <row r="384" spans="1:23" outlineLevel="1" x14ac:dyDescent="0.2">
      <c r="A384" s="9"/>
      <c r="B384" s="30"/>
      <c r="C384" s="31" t="s">
        <v>364</v>
      </c>
      <c r="D384" s="32" t="s">
        <v>365</v>
      </c>
      <c r="E384" s="33"/>
      <c r="F384" s="34">
        <f>[1]FPG!F384+'[1]C.E.'!F384+[1]SAP!F384</f>
        <v>0</v>
      </c>
      <c r="G384" s="34">
        <f>[1]FPG!G384+'[1]C.E.'!G384+[1]SAP!G384</f>
        <v>0</v>
      </c>
      <c r="H384" s="34">
        <f>[1]FPG!H384+'[1]C.E.'!H384+[1]SAP!H384</f>
        <v>0</v>
      </c>
      <c r="I384" s="34">
        <f>[1]FPG!I384+'[1]C.E.'!I384+[1]SAP!I384</f>
        <v>0</v>
      </c>
      <c r="J384" s="34">
        <f>[1]FPG!J384+'[1]C.E.'!J384+[1]SAP!J384</f>
        <v>0</v>
      </c>
      <c r="K384" s="34">
        <f>[1]FPG!K384+'[1]C.E.'!K384+[1]SAP!K384</f>
        <v>0</v>
      </c>
      <c r="L384" s="34">
        <f>[1]FPG!L384+'[1]C.E.'!L384+[1]SAP!L384</f>
        <v>0</v>
      </c>
      <c r="M384" s="34">
        <f>[1]FPG!M384+'[1]C.E.'!M384+[1]SAP!M384</f>
        <v>0</v>
      </c>
      <c r="N384" s="34">
        <f>[1]FPG!N384+'[1]C.E.'!N384+[1]SAP!N384</f>
        <v>0</v>
      </c>
      <c r="O384" s="34">
        <f>[1]FPG!O384+'[1]C.E.'!O384+[1]SAP!O384</f>
        <v>0</v>
      </c>
      <c r="P384" s="34">
        <f>[1]FPG!P384+'[1]C.E.'!P384+[1]SAP!P384</f>
        <v>0</v>
      </c>
      <c r="Q384" s="34">
        <f>[1]FPG!Q384+'[1]C.E.'!Q384+[1]SAP!Q384</f>
        <v>0</v>
      </c>
      <c r="R384" s="27"/>
      <c r="S384" s="35">
        <f t="shared" si="59"/>
        <v>0</v>
      </c>
      <c r="T384" s="36">
        <f t="shared" si="60"/>
        <v>0</v>
      </c>
      <c r="V384" s="21">
        <f>S384-[1]FPG!S384-'[1]C.E.'!S384</f>
        <v>0</v>
      </c>
      <c r="W384" s="22"/>
    </row>
    <row r="385" spans="1:28" ht="19.2" customHeight="1" x14ac:dyDescent="0.2">
      <c r="V385" s="5"/>
      <c r="W385" s="84"/>
      <c r="X385" s="6"/>
      <c r="Y385" s="5"/>
      <c r="AA385" s="85"/>
      <c r="AB385" s="3"/>
    </row>
    <row r="386" spans="1:28" s="20" customFormat="1" ht="37.200000000000003" customHeight="1" x14ac:dyDescent="0.25">
      <c r="A386" s="13"/>
      <c r="B386" s="14"/>
      <c r="C386" s="136" t="s">
        <v>366</v>
      </c>
      <c r="D386" s="137"/>
      <c r="E386" s="14" t="s">
        <v>102</v>
      </c>
      <c r="F386" s="17">
        <f>[1]FPG!F386+'[1]C.E.'!F386</f>
        <v>0</v>
      </c>
      <c r="G386" s="17">
        <f>[1]FPG!G386+'[1]C.E.'!G386</f>
        <v>0</v>
      </c>
      <c r="H386" s="17">
        <f>[1]FPG!H386+'[1]C.E.'!H386</f>
        <v>0</v>
      </c>
      <c r="I386" s="17">
        <f>[1]FPG!I386+'[1]C.E.'!I386</f>
        <v>0</v>
      </c>
      <c r="J386" s="17">
        <f>[1]FPG!J386+'[1]C.E.'!J386</f>
        <v>0</v>
      </c>
      <c r="K386" s="17">
        <f>[1]FPG!K386+'[1]C.E.'!K386</f>
        <v>0</v>
      </c>
      <c r="L386" s="17">
        <f>[1]FPG!L386+'[1]C.E.'!L386</f>
        <v>0</v>
      </c>
      <c r="M386" s="17">
        <f>[1]FPG!M386+'[1]C.E.'!M386</f>
        <v>0</v>
      </c>
      <c r="N386" s="17">
        <f>[1]FPG!N386+'[1]C.E.'!N386</f>
        <v>0</v>
      </c>
      <c r="O386" s="17">
        <f>[1]FPG!O386+'[1]C.E.'!O386</f>
        <v>0</v>
      </c>
      <c r="P386" s="17">
        <f>[1]FPG!P386+'[1]C.E.'!P386</f>
        <v>0</v>
      </c>
      <c r="Q386" s="17">
        <f>[1]FPG!Q386+'[1]C.E.'!Q386</f>
        <v>0</v>
      </c>
      <c r="R386" s="18"/>
      <c r="S386" s="17">
        <f>SUM(F386:R386)</f>
        <v>0</v>
      </c>
      <c r="T386" s="86"/>
      <c r="V386" s="87"/>
      <c r="W386" s="88">
        <f>S386-219753-152488</f>
        <v>-372241</v>
      </c>
    </row>
    <row r="387" spans="1:28" ht="19.2" customHeight="1" thickBot="1" x14ac:dyDescent="0.25">
      <c r="V387" s="5"/>
      <c r="W387" s="84"/>
      <c r="X387" s="6"/>
      <c r="Y387" s="5"/>
      <c r="AA387" s="85"/>
      <c r="AB387" s="3"/>
    </row>
    <row r="388" spans="1:28" ht="20.399999999999999" customHeight="1" thickBot="1" x14ac:dyDescent="0.25">
      <c r="A388" s="138"/>
      <c r="B388" s="89"/>
      <c r="C388" s="129" t="s">
        <v>367</v>
      </c>
      <c r="D388" s="129"/>
      <c r="E388" s="90"/>
      <c r="F388" s="90">
        <f t="shared" ref="F388:Q388" si="61">F3</f>
        <v>1161574.1754947517</v>
      </c>
      <c r="G388" s="90">
        <f t="shared" si="61"/>
        <v>980438.38123450149</v>
      </c>
      <c r="H388" s="90">
        <f t="shared" si="61"/>
        <v>1051539.5009742514</v>
      </c>
      <c r="I388" s="90">
        <f t="shared" si="61"/>
        <v>1045147.4207140015</v>
      </c>
      <c r="J388" s="90">
        <f t="shared" si="61"/>
        <v>1031698.5404537516</v>
      </c>
      <c r="K388" s="90">
        <f t="shared" si="61"/>
        <v>988807.73019350157</v>
      </c>
      <c r="L388" s="90">
        <f t="shared" si="61"/>
        <v>980358.84993325162</v>
      </c>
      <c r="M388" s="90">
        <f t="shared" si="61"/>
        <v>1066109.9696730017</v>
      </c>
      <c r="N388" s="90">
        <f t="shared" si="61"/>
        <v>990001.08941275161</v>
      </c>
      <c r="O388" s="90">
        <f t="shared" si="61"/>
        <v>985012.20915250166</v>
      </c>
      <c r="P388" s="90">
        <f t="shared" si="61"/>
        <v>1086801.7288922516</v>
      </c>
      <c r="Q388" s="90">
        <f t="shared" si="61"/>
        <v>1041069.2486320016</v>
      </c>
      <c r="R388" s="27"/>
      <c r="S388" s="90">
        <f>SUM(F388:R388)</f>
        <v>12408558.844760517</v>
      </c>
      <c r="T388" s="91"/>
      <c r="V388" s="92">
        <f>S388-7325085-5082918</f>
        <v>555.84476051665843</v>
      </c>
      <c r="W388" s="22"/>
    </row>
    <row r="389" spans="1:28" ht="20.399999999999999" customHeight="1" thickBot="1" x14ac:dyDescent="0.25">
      <c r="A389" s="138"/>
      <c r="B389" s="89"/>
      <c r="C389" s="129" t="s">
        <v>368</v>
      </c>
      <c r="D389" s="129"/>
      <c r="E389" s="90"/>
      <c r="F389" s="90">
        <f t="shared" ref="F389:Q389" si="62">F43</f>
        <v>1081547.7692298403</v>
      </c>
      <c r="G389" s="90">
        <f t="shared" si="62"/>
        <v>827938.66326552187</v>
      </c>
      <c r="H389" s="90">
        <f t="shared" si="62"/>
        <v>937738.66326552175</v>
      </c>
      <c r="I389" s="90">
        <f t="shared" si="62"/>
        <v>1152088.6632655219</v>
      </c>
      <c r="J389" s="90">
        <f t="shared" si="62"/>
        <v>748967.98126552184</v>
      </c>
      <c r="K389" s="90">
        <f t="shared" si="62"/>
        <v>1102736.4822655215</v>
      </c>
      <c r="L389" s="90">
        <f t="shared" si="62"/>
        <v>1130343.3994321886</v>
      </c>
      <c r="M389" s="90">
        <f t="shared" si="62"/>
        <v>945971.19943218853</v>
      </c>
      <c r="N389" s="90">
        <f t="shared" si="62"/>
        <v>930898.69943218853</v>
      </c>
      <c r="O389" s="90">
        <f t="shared" si="62"/>
        <v>1150174.2801321885</v>
      </c>
      <c r="P389" s="90">
        <f t="shared" si="62"/>
        <v>807863.73613218847</v>
      </c>
      <c r="Q389" s="90">
        <f t="shared" si="62"/>
        <v>887863.73613218847</v>
      </c>
      <c r="R389" s="27"/>
      <c r="S389" s="90">
        <f>SUM(F389:R389)</f>
        <v>11704133.27325058</v>
      </c>
      <c r="T389" s="91"/>
      <c r="V389" s="92">
        <f>S389-7013933-4690200</f>
        <v>0.27325057983398438</v>
      </c>
      <c r="W389" s="22"/>
    </row>
    <row r="390" spans="1:28" s="97" customFormat="1" ht="20.399999999999999" customHeight="1" thickBot="1" x14ac:dyDescent="0.25">
      <c r="A390" s="138"/>
      <c r="B390" s="93"/>
      <c r="C390" s="139" t="s">
        <v>369</v>
      </c>
      <c r="D390" s="139"/>
      <c r="E390" s="94"/>
      <c r="F390" s="94">
        <f t="shared" ref="F390:Q390" si="63">F386</f>
        <v>0</v>
      </c>
      <c r="G390" s="94">
        <f t="shared" si="63"/>
        <v>0</v>
      </c>
      <c r="H390" s="94">
        <f t="shared" si="63"/>
        <v>0</v>
      </c>
      <c r="I390" s="94">
        <f t="shared" si="63"/>
        <v>0</v>
      </c>
      <c r="J390" s="94">
        <f t="shared" si="63"/>
        <v>0</v>
      </c>
      <c r="K390" s="94">
        <f t="shared" si="63"/>
        <v>0</v>
      </c>
      <c r="L390" s="94">
        <f t="shared" si="63"/>
        <v>0</v>
      </c>
      <c r="M390" s="94">
        <f t="shared" si="63"/>
        <v>0</v>
      </c>
      <c r="N390" s="94">
        <f t="shared" si="63"/>
        <v>0</v>
      </c>
      <c r="O390" s="94">
        <f t="shared" si="63"/>
        <v>0</v>
      </c>
      <c r="P390" s="94">
        <f t="shared" si="63"/>
        <v>0</v>
      </c>
      <c r="Q390" s="94">
        <f t="shared" si="63"/>
        <v>0</v>
      </c>
      <c r="R390" s="95"/>
      <c r="S390" s="94">
        <f>SUM(F390:R390)</f>
        <v>0</v>
      </c>
      <c r="T390" s="96"/>
      <c r="V390" s="98">
        <f>S390-219753-152488</f>
        <v>-372241</v>
      </c>
      <c r="W390" s="99"/>
    </row>
    <row r="391" spans="1:28" ht="20.399999999999999" customHeight="1" thickBot="1" x14ac:dyDescent="0.25">
      <c r="A391" s="138"/>
      <c r="B391" s="100"/>
      <c r="C391" s="130" t="s">
        <v>370</v>
      </c>
      <c r="D391" s="130"/>
      <c r="E391" s="101"/>
      <c r="F391" s="101">
        <f>F388-F389-F390</f>
        <v>80026.406264911406</v>
      </c>
      <c r="G391" s="101">
        <f t="shared" ref="G391:Q391" si="64">G388-G389-G390</f>
        <v>152499.71796897962</v>
      </c>
      <c r="H391" s="101">
        <f t="shared" si="64"/>
        <v>113800.83770872967</v>
      </c>
      <c r="I391" s="101">
        <f t="shared" si="64"/>
        <v>-106941.24255152035</v>
      </c>
      <c r="J391" s="101">
        <f t="shared" si="64"/>
        <v>282730.55918822973</v>
      </c>
      <c r="K391" s="101">
        <f t="shared" si="64"/>
        <v>-113928.75207201997</v>
      </c>
      <c r="L391" s="101">
        <f t="shared" si="64"/>
        <v>-149984.54949893698</v>
      </c>
      <c r="M391" s="101">
        <f t="shared" si="64"/>
        <v>120138.77024081314</v>
      </c>
      <c r="N391" s="101">
        <f t="shared" si="64"/>
        <v>59102.389980563079</v>
      </c>
      <c r="O391" s="101">
        <f t="shared" si="64"/>
        <v>-165162.0709796868</v>
      </c>
      <c r="P391" s="101">
        <f t="shared" si="64"/>
        <v>278937.99276006315</v>
      </c>
      <c r="Q391" s="101">
        <f t="shared" si="64"/>
        <v>153205.51249981311</v>
      </c>
      <c r="R391" s="27"/>
      <c r="S391" s="101">
        <f t="shared" ref="S391" si="65">S388-S389-S390</f>
        <v>704425.57150993682</v>
      </c>
      <c r="T391" s="102"/>
      <c r="V391" s="92">
        <f>S391-(91399+240231)</f>
        <v>372795.57150993682</v>
      </c>
      <c r="W391" s="22"/>
    </row>
    <row r="392" spans="1:28" x14ac:dyDescent="0.2">
      <c r="S392" s="27">
        <f>S388-(7325641+5082918)</f>
        <v>-0.15523948334157467</v>
      </c>
      <c r="V392" s="5"/>
      <c r="W392" s="103"/>
      <c r="X392" s="6"/>
      <c r="Y392" s="5"/>
      <c r="AA392" s="104"/>
    </row>
    <row r="393" spans="1:28" x14ac:dyDescent="0.2">
      <c r="S393" s="27">
        <f>S389-(4690200+7013933)</f>
        <v>0.27325057983398438</v>
      </c>
      <c r="V393" s="5"/>
      <c r="W393" s="103"/>
      <c r="X393" s="6"/>
      <c r="Y393" s="5"/>
      <c r="AA393" s="104"/>
    </row>
    <row r="394" spans="1:28" ht="10.8" thickBot="1" x14ac:dyDescent="0.25">
      <c r="S394" s="27">
        <f>S391-(91938+240231)</f>
        <v>372256.57150993682</v>
      </c>
      <c r="V394" s="5"/>
      <c r="W394" s="103"/>
      <c r="X394" s="6"/>
      <c r="Y394" s="5"/>
      <c r="AA394" s="104"/>
    </row>
    <row r="395" spans="1:28" ht="20.399999999999999" customHeight="1" thickBot="1" x14ac:dyDescent="0.25">
      <c r="A395" s="128"/>
      <c r="B395" s="89"/>
      <c r="C395" s="129" t="s">
        <v>371</v>
      </c>
      <c r="D395" s="129"/>
      <c r="E395" s="90"/>
      <c r="F395" s="90">
        <v>0</v>
      </c>
      <c r="G395" s="90">
        <f>F396</f>
        <v>80026.406264911406</v>
      </c>
      <c r="H395" s="90">
        <f t="shared" ref="H395:P395" si="66">G396</f>
        <v>232526.12423389102</v>
      </c>
      <c r="I395" s="90">
        <f t="shared" si="66"/>
        <v>346326.96194262069</v>
      </c>
      <c r="J395" s="90">
        <f t="shared" si="66"/>
        <v>239385.71939110034</v>
      </c>
      <c r="K395" s="90">
        <f t="shared" si="66"/>
        <v>522116.27857933007</v>
      </c>
      <c r="L395" s="90">
        <f t="shared" si="66"/>
        <v>408187.5265073101</v>
      </c>
      <c r="M395" s="90">
        <f t="shared" si="66"/>
        <v>258202.97700837313</v>
      </c>
      <c r="N395" s="90">
        <f t="shared" si="66"/>
        <v>378341.74724918627</v>
      </c>
      <c r="O395" s="90">
        <f t="shared" si="66"/>
        <v>437444.13722974935</v>
      </c>
      <c r="P395" s="90">
        <f t="shared" si="66"/>
        <v>272282.06625006255</v>
      </c>
      <c r="Q395" s="90">
        <f>P396</f>
        <v>551220.0590101257</v>
      </c>
      <c r="R395" s="27"/>
      <c r="S395" s="90">
        <f>F395</f>
        <v>0</v>
      </c>
      <c r="T395" s="91"/>
    </row>
    <row r="396" spans="1:28" ht="20.399999999999999" customHeight="1" thickBot="1" x14ac:dyDescent="0.25">
      <c r="A396" s="128"/>
      <c r="B396" s="100"/>
      <c r="C396" s="130" t="s">
        <v>372</v>
      </c>
      <c r="D396" s="130"/>
      <c r="E396" s="101"/>
      <c r="F396" s="101">
        <f>F395+F391</f>
        <v>80026.406264911406</v>
      </c>
      <c r="G396" s="101">
        <f>G395+G391</f>
        <v>232526.12423389102</v>
      </c>
      <c r="H396" s="101">
        <f t="shared" ref="H396:Q396" si="67">H395+H391</f>
        <v>346326.96194262069</v>
      </c>
      <c r="I396" s="101">
        <f t="shared" si="67"/>
        <v>239385.71939110034</v>
      </c>
      <c r="J396" s="101">
        <f t="shared" si="67"/>
        <v>522116.27857933007</v>
      </c>
      <c r="K396" s="101">
        <f t="shared" si="67"/>
        <v>408187.5265073101</v>
      </c>
      <c r="L396" s="101">
        <f t="shared" si="67"/>
        <v>258202.97700837313</v>
      </c>
      <c r="M396" s="101">
        <f t="shared" si="67"/>
        <v>378341.74724918627</v>
      </c>
      <c r="N396" s="101">
        <f t="shared" si="67"/>
        <v>437444.13722974935</v>
      </c>
      <c r="O396" s="101">
        <f t="shared" si="67"/>
        <v>272282.06625006255</v>
      </c>
      <c r="P396" s="101">
        <f t="shared" si="67"/>
        <v>551220.0590101257</v>
      </c>
      <c r="Q396" s="101">
        <f t="shared" si="67"/>
        <v>704425.5715099388</v>
      </c>
      <c r="R396" s="27"/>
      <c r="S396" s="101">
        <f>S395+S391</f>
        <v>704425.57150993682</v>
      </c>
      <c r="T396" s="102"/>
    </row>
    <row r="397" spans="1:28" s="105" customFormat="1" x14ac:dyDescent="0.25">
      <c r="B397" s="106"/>
      <c r="C397" s="107"/>
      <c r="D397" s="108" t="s">
        <v>373</v>
      </c>
      <c r="E397" s="106"/>
      <c r="F397" s="109">
        <f>F396-[1]FPG!F396-'[1]C.E.'!F396</f>
        <v>-1.1641532182693481E-10</v>
      </c>
      <c r="G397" s="109">
        <f>G396-[1]FPG!G396-'[1]C.E.'!G396</f>
        <v>-4.0745362639427185E-10</v>
      </c>
      <c r="H397" s="109">
        <f>H396-[1]FPG!H396-'[1]C.E.'!H396</f>
        <v>-6.4028427004814148E-10</v>
      </c>
      <c r="I397" s="109">
        <f>I396-[1]FPG!I396-'[1]C.E.'!I396</f>
        <v>-8.149072527885437E-10</v>
      </c>
      <c r="J397" s="109">
        <f>J396-[1]FPG!J396-'[1]C.E.'!J396</f>
        <v>-8.7311491370201111E-10</v>
      </c>
      <c r="K397" s="109">
        <f>K396-[1]FPG!K396-'[1]C.E.'!K396</f>
        <v>-6.4028427004814148E-10</v>
      </c>
      <c r="L397" s="109">
        <f>L396-[1]FPG!L396-'[1]C.E.'!L396</f>
        <v>-5.8207660913467407E-10</v>
      </c>
      <c r="M397" s="109">
        <f>M396-[1]FPG!M396-'[1]C.E.'!M396</f>
        <v>-6.9849193096160889E-10</v>
      </c>
      <c r="N397" s="109">
        <f>N396-[1]FPG!N396-'[1]C.E.'!N396</f>
        <v>-9.3132257461547852E-10</v>
      </c>
      <c r="O397" s="109">
        <f>O396-[1]FPG!O396-'[1]C.E.'!O396</f>
        <v>-6.4028427004814148E-10</v>
      </c>
      <c r="P397" s="109">
        <f>P396-[1]FPG!P396-'[1]C.E.'!P396</f>
        <v>-6.4028427004814148E-10</v>
      </c>
      <c r="Q397" s="109">
        <f>Q396-[1]FPG!Q396-'[1]C.E.'!Q396</f>
        <v>-6.9849193096160889E-10</v>
      </c>
      <c r="S397" s="110"/>
      <c r="T397" s="111"/>
      <c r="V397" s="7"/>
      <c r="W397" s="8"/>
    </row>
    <row r="398" spans="1:28" ht="19.2" customHeight="1" x14ac:dyDescent="0.2">
      <c r="F398" s="1"/>
      <c r="G398" s="1"/>
      <c r="V398" s="5"/>
      <c r="W398" s="84"/>
      <c r="X398" s="6"/>
      <c r="Y398" s="5"/>
      <c r="AA398" s="85"/>
      <c r="AB398" s="3"/>
    </row>
    <row r="399" spans="1:28" ht="26.4" customHeight="1" x14ac:dyDescent="0.2"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27"/>
      <c r="S399" s="84"/>
      <c r="T399" s="112" t="s">
        <v>374</v>
      </c>
    </row>
    <row r="400" spans="1:28" x14ac:dyDescent="0.2">
      <c r="A400" s="9"/>
      <c r="B400" s="113"/>
      <c r="C400" s="114" t="s">
        <v>375</v>
      </c>
      <c r="D400" s="115"/>
      <c r="E400" s="113" t="s">
        <v>57</v>
      </c>
      <c r="F400" s="116">
        <f t="shared" ref="F400:Q400" si="68">SUMIF($E$44:$E$387,$E$400,F44:F387)</f>
        <v>626815.25323803164</v>
      </c>
      <c r="G400" s="116">
        <f t="shared" si="68"/>
        <v>642919.78363734984</v>
      </c>
      <c r="H400" s="116">
        <f t="shared" si="68"/>
        <v>639719.78363734984</v>
      </c>
      <c r="I400" s="116">
        <f t="shared" si="68"/>
        <v>639719.78363734984</v>
      </c>
      <c r="J400" s="116">
        <f t="shared" si="68"/>
        <v>648449.10163734981</v>
      </c>
      <c r="K400" s="116">
        <f t="shared" si="68"/>
        <v>862217.60263734974</v>
      </c>
      <c r="L400" s="116">
        <f t="shared" si="68"/>
        <v>652474.51980401645</v>
      </c>
      <c r="M400" s="116">
        <f t="shared" si="68"/>
        <v>679452.3198040165</v>
      </c>
      <c r="N400" s="116">
        <f t="shared" si="68"/>
        <v>661879.8198040165</v>
      </c>
      <c r="O400" s="116">
        <f t="shared" si="68"/>
        <v>669305.40050401632</v>
      </c>
      <c r="P400" s="116">
        <f t="shared" si="68"/>
        <v>678844.85650401632</v>
      </c>
      <c r="Q400" s="116">
        <f t="shared" si="68"/>
        <v>717344.85650401644</v>
      </c>
      <c r="R400" s="27"/>
      <c r="S400" s="116">
        <f>SUM(F400:R400)</f>
        <v>8119143.0813488802</v>
      </c>
      <c r="T400" s="117">
        <f>S400/$S$402</f>
        <v>0.6936987892905252</v>
      </c>
    </row>
    <row r="401" spans="1:23" x14ac:dyDescent="0.2">
      <c r="A401" s="9"/>
      <c r="B401" s="113"/>
      <c r="C401" s="114" t="s">
        <v>376</v>
      </c>
      <c r="D401" s="115"/>
      <c r="E401" s="113" t="s">
        <v>102</v>
      </c>
      <c r="F401" s="116">
        <f t="shared" ref="F401:Q401" si="69">SUMIF($E$44:$E$387,$E$401,F44:F387)</f>
        <v>454732.51599180838</v>
      </c>
      <c r="G401" s="116">
        <f t="shared" si="69"/>
        <v>185018.87962817197</v>
      </c>
      <c r="H401" s="116">
        <f t="shared" si="69"/>
        <v>298018.87962817197</v>
      </c>
      <c r="I401" s="116">
        <f t="shared" si="69"/>
        <v>512368.87962817203</v>
      </c>
      <c r="J401" s="116">
        <f t="shared" si="69"/>
        <v>100518.87962817196</v>
      </c>
      <c r="K401" s="116">
        <f t="shared" si="69"/>
        <v>240518.87962817197</v>
      </c>
      <c r="L401" s="116">
        <f t="shared" si="69"/>
        <v>477868.87962817203</v>
      </c>
      <c r="M401" s="116">
        <f t="shared" si="69"/>
        <v>266518.87962817197</v>
      </c>
      <c r="N401" s="116">
        <f t="shared" si="69"/>
        <v>269018.87962817197</v>
      </c>
      <c r="O401" s="116">
        <f t="shared" si="69"/>
        <v>480868.87962817203</v>
      </c>
      <c r="P401" s="116">
        <f t="shared" si="69"/>
        <v>129018.87962817196</v>
      </c>
      <c r="Q401" s="116">
        <f t="shared" si="69"/>
        <v>170518.87962817197</v>
      </c>
      <c r="R401" s="27"/>
      <c r="S401" s="116">
        <f>SUM(F401:R401)</f>
        <v>3584990.191901701</v>
      </c>
      <c r="T401" s="117">
        <f>S401/$S$402</f>
        <v>0.30630121070947475</v>
      </c>
    </row>
    <row r="402" spans="1:23" collapsed="1" x14ac:dyDescent="0.2">
      <c r="A402" s="9"/>
      <c r="B402" s="118"/>
      <c r="C402" s="119" t="s">
        <v>54</v>
      </c>
      <c r="D402" s="120"/>
      <c r="E402" s="118"/>
      <c r="F402" s="121">
        <f>SUM(F400:F401)</f>
        <v>1081547.76922984</v>
      </c>
      <c r="G402" s="121">
        <f>SUM(G400:G401)</f>
        <v>827938.66326552187</v>
      </c>
      <c r="H402" s="121">
        <f t="shared" ref="H402:Q402" si="70">SUM(H400:H401)</f>
        <v>937738.66326552187</v>
      </c>
      <c r="I402" s="121">
        <f t="shared" si="70"/>
        <v>1152088.6632655219</v>
      </c>
      <c r="J402" s="121">
        <f t="shared" si="70"/>
        <v>748967.98126552172</v>
      </c>
      <c r="K402" s="121">
        <f t="shared" si="70"/>
        <v>1102736.4822655218</v>
      </c>
      <c r="L402" s="121">
        <f t="shared" si="70"/>
        <v>1130343.3994321884</v>
      </c>
      <c r="M402" s="121">
        <f t="shared" si="70"/>
        <v>945971.19943218841</v>
      </c>
      <c r="N402" s="121">
        <f t="shared" si="70"/>
        <v>930898.69943218841</v>
      </c>
      <c r="O402" s="121">
        <f t="shared" si="70"/>
        <v>1150174.2801321885</v>
      </c>
      <c r="P402" s="121">
        <f t="shared" si="70"/>
        <v>807863.73613218823</v>
      </c>
      <c r="Q402" s="121">
        <f t="shared" si="70"/>
        <v>887863.73613218847</v>
      </c>
      <c r="R402" s="27"/>
      <c r="S402" s="121">
        <f>SUM(S400:S401)</f>
        <v>11704133.273250582</v>
      </c>
      <c r="T402" s="122">
        <f>SUM(T400:T401)</f>
        <v>1</v>
      </c>
    </row>
    <row r="403" spans="1:23" s="105" customFormat="1" ht="30.6" customHeight="1" x14ac:dyDescent="0.25">
      <c r="B403" s="106"/>
      <c r="C403" s="107"/>
      <c r="D403" s="108" t="s">
        <v>373</v>
      </c>
      <c r="E403" s="106"/>
      <c r="F403" s="109">
        <f t="shared" ref="F403:Q403" si="71">F402-F43-F386</f>
        <v>-2.3283064365386963E-10</v>
      </c>
      <c r="G403" s="109">
        <f t="shared" si="71"/>
        <v>0</v>
      </c>
      <c r="H403" s="109">
        <f t="shared" si="71"/>
        <v>1.1641532182693481E-10</v>
      </c>
      <c r="I403" s="109">
        <f t="shared" si="71"/>
        <v>0</v>
      </c>
      <c r="J403" s="109">
        <f t="shared" si="71"/>
        <v>-1.1641532182693481E-10</v>
      </c>
      <c r="K403" s="109">
        <f t="shared" si="71"/>
        <v>2.3283064365386963E-10</v>
      </c>
      <c r="L403" s="109">
        <f t="shared" si="71"/>
        <v>-2.3283064365386963E-10</v>
      </c>
      <c r="M403" s="109">
        <f t="shared" si="71"/>
        <v>-1.1641532182693481E-10</v>
      </c>
      <c r="N403" s="109">
        <f t="shared" si="71"/>
        <v>-1.1641532182693481E-10</v>
      </c>
      <c r="O403" s="109">
        <f t="shared" si="71"/>
        <v>0</v>
      </c>
      <c r="P403" s="109">
        <f t="shared" si="71"/>
        <v>-2.3283064365386963E-10</v>
      </c>
      <c r="Q403" s="109">
        <f t="shared" si="71"/>
        <v>0</v>
      </c>
      <c r="R403" s="123"/>
      <c r="S403" s="124">
        <f>S402-S43-S386</f>
        <v>1.862645149230957E-9</v>
      </c>
      <c r="T403" s="111"/>
      <c r="V403" s="7"/>
      <c r="W403" s="8"/>
    </row>
    <row r="404" spans="1:23" x14ac:dyDescent="0.2"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spans="1:23" x14ac:dyDescent="0.2"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spans="1:23" x14ac:dyDescent="0.2">
      <c r="F406" s="125">
        <f>F3-F381</f>
        <v>849724.17549475166</v>
      </c>
      <c r="G406" s="125">
        <f t="shared" ref="G406:P406" si="72">G3-G381</f>
        <v>980438.38123450149</v>
      </c>
      <c r="H406" s="125">
        <f t="shared" si="72"/>
        <v>1051539.5009742514</v>
      </c>
      <c r="I406" s="125">
        <f t="shared" si="72"/>
        <v>733297.4207140014</v>
      </c>
      <c r="J406" s="125">
        <f t="shared" si="72"/>
        <v>1031698.5404537516</v>
      </c>
      <c r="K406" s="125">
        <f t="shared" si="72"/>
        <v>988807.73019350157</v>
      </c>
      <c r="L406" s="125">
        <f t="shared" si="72"/>
        <v>668508.84993325151</v>
      </c>
      <c r="M406" s="125">
        <f t="shared" si="72"/>
        <v>1066109.9696730017</v>
      </c>
      <c r="N406" s="125">
        <f t="shared" si="72"/>
        <v>990001.08941275161</v>
      </c>
      <c r="O406" s="125">
        <f t="shared" si="72"/>
        <v>673162.20915250154</v>
      </c>
      <c r="P406" s="125">
        <f t="shared" si="72"/>
        <v>1086801.7288922516</v>
      </c>
      <c r="Q406" s="125">
        <f>Q3-Q381</f>
        <v>1041069.2486320016</v>
      </c>
      <c r="R406" s="125"/>
      <c r="S406" s="126">
        <f>SUM(F406:R406)</f>
        <v>11161158.844760519</v>
      </c>
    </row>
    <row r="407" spans="1:23" x14ac:dyDescent="0.2">
      <c r="H407" s="4"/>
      <c r="I407" s="4"/>
      <c r="J407" s="4"/>
      <c r="K407" s="4"/>
      <c r="L407" s="4"/>
      <c r="M407" s="4"/>
      <c r="N407" s="4"/>
      <c r="O407" s="4"/>
      <c r="P407" s="4"/>
      <c r="Q407" s="4"/>
      <c r="S407" s="127">
        <f>S406*0.03</f>
        <v>334834.76534281555</v>
      </c>
    </row>
    <row r="408" spans="1:23" x14ac:dyDescent="0.2">
      <c r="F408" s="4">
        <f>F406*0.03</f>
        <v>25491.725264842549</v>
      </c>
      <c r="G408" s="4">
        <f t="shared" ref="G408:Q408" si="73">G406*0.03</f>
        <v>29413.151437035045</v>
      </c>
      <c r="H408" s="4">
        <f t="shared" si="73"/>
        <v>31546.185029227541</v>
      </c>
      <c r="I408" s="4">
        <f t="shared" si="73"/>
        <v>21998.922621420043</v>
      </c>
      <c r="J408" s="4">
        <f t="shared" si="73"/>
        <v>30950.956213612546</v>
      </c>
      <c r="K408" s="4">
        <f t="shared" si="73"/>
        <v>29664.231905805045</v>
      </c>
      <c r="L408" s="4">
        <f t="shared" si="73"/>
        <v>20055.265497997545</v>
      </c>
      <c r="M408" s="4">
        <f t="shared" si="73"/>
        <v>31983.299090190048</v>
      </c>
      <c r="N408" s="4">
        <f t="shared" si="73"/>
        <v>29700.032682382545</v>
      </c>
      <c r="O408" s="4">
        <f t="shared" si="73"/>
        <v>20194.866274575044</v>
      </c>
      <c r="P408" s="4">
        <f t="shared" si="73"/>
        <v>32604.051866767546</v>
      </c>
      <c r="Q408" s="4">
        <f t="shared" si="73"/>
        <v>31232.077458960048</v>
      </c>
      <c r="S408" s="127">
        <f>S407/12</f>
        <v>27902.897111901297</v>
      </c>
    </row>
  </sheetData>
  <mergeCells count="12">
    <mergeCell ref="A395:A396"/>
    <mergeCell ref="C395:D395"/>
    <mergeCell ref="C396:D396"/>
    <mergeCell ref="B2:C2"/>
    <mergeCell ref="S2:T2"/>
    <mergeCell ref="C237:D237"/>
    <mergeCell ref="C386:D386"/>
    <mergeCell ref="A388:A391"/>
    <mergeCell ref="C388:D388"/>
    <mergeCell ref="C389:D389"/>
    <mergeCell ref="C390:D390"/>
    <mergeCell ref="C391:D391"/>
  </mergeCells>
  <conditionalFormatting sqref="B392:R392 T392:U392">
    <cfRule type="cellIs" dxfId="5" priority="4" operator="lessThan">
      <formula>0</formula>
    </cfRule>
  </conditionalFormatting>
  <conditionalFormatting sqref="C388:S391 C395:S396">
    <cfRule type="cellIs" dxfId="4" priority="6" operator="lessThan">
      <formula>0</formula>
    </cfRule>
  </conditionalFormatting>
  <conditionalFormatting sqref="F392:Q394 X392:Y394">
    <cfRule type="cellIs" dxfId="3" priority="5" operator="lessThan">
      <formula>0</formula>
    </cfRule>
  </conditionalFormatting>
  <conditionalFormatting sqref="X385:Y385">
    <cfRule type="cellIs" dxfId="2" priority="2" operator="lessThan">
      <formula>0</formula>
    </cfRule>
  </conditionalFormatting>
  <conditionalFormatting sqref="X387:Y387">
    <cfRule type="cellIs" dxfId="1" priority="1" operator="lessThan">
      <formula>0</formula>
    </cfRule>
  </conditionalFormatting>
  <conditionalFormatting sqref="X398:Y398">
    <cfRule type="cellIs" dxfId="0" priority="3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1fd87c-c81e-4689-8a61-1ed3b2ecfd7d" xsi:nil="true"/>
    <lcf76f155ced4ddcb4097134ff3c332f xmlns="926a81c2-a579-47ca-9846-9f53cd869aa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9B3B764AE04C4ABD46E308924152EC" ma:contentTypeVersion="13" ma:contentTypeDescription="Crie um novo documento." ma:contentTypeScope="" ma:versionID="72277a04a2ef3dd3c74d6de7ffe8494c">
  <xsd:schema xmlns:xsd="http://www.w3.org/2001/XMLSchema" xmlns:xs="http://www.w3.org/2001/XMLSchema" xmlns:p="http://schemas.microsoft.com/office/2006/metadata/properties" xmlns:ns2="926a81c2-a579-47ca-9846-9f53cd869aa7" xmlns:ns3="2d1fd87c-c81e-4689-8a61-1ed3b2ecfd7d" targetNamespace="http://schemas.microsoft.com/office/2006/metadata/properties" ma:root="true" ma:fieldsID="5e6c87c4c19e1ac6b4b27919c03c0182" ns2:_="" ns3:_="">
    <xsd:import namespace="926a81c2-a579-47ca-9846-9f53cd869aa7"/>
    <xsd:import namespace="2d1fd87c-c81e-4689-8a61-1ed3b2ecfd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a81c2-a579-47ca-9846-9f53cd869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1bdf1fc-7978-408b-bc5b-34c4c3df7c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fd87c-c81e-4689-8a61-1ed3b2ecfd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a57fbaf-5365-4f1f-aff3-e94e6f362e93}" ma:internalName="TaxCatchAll" ma:showField="CatchAllData" ma:web="2d1fd87c-c81e-4689-8a61-1ed3b2ecfd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6DB772-BA87-4A71-A39E-7F5A6DE51972}">
  <ds:schemaRefs>
    <ds:schemaRef ds:uri="http://schemas.microsoft.com/office/2006/metadata/properties"/>
    <ds:schemaRef ds:uri="http://schemas.microsoft.com/office/infopath/2007/PartnerControls"/>
    <ds:schemaRef ds:uri="2d1fd87c-c81e-4689-8a61-1ed3b2ecfd7d"/>
    <ds:schemaRef ds:uri="926a81c2-a579-47ca-9846-9f53cd869aa7"/>
  </ds:schemaRefs>
</ds:datastoreItem>
</file>

<file path=customXml/itemProps2.xml><?xml version="1.0" encoding="utf-8"?>
<ds:datastoreItem xmlns:ds="http://schemas.openxmlformats.org/officeDocument/2006/customXml" ds:itemID="{F66D07A9-2934-44B4-9B8A-52DDE9A3E0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B1DA33-AD03-48EA-A313-5886716151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6a81c2-a579-47ca-9846-9f53cd869aa7"/>
    <ds:schemaRef ds:uri="2d1fd87c-c81e-4689-8a61-1ed3b2ecfd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V. Misevicius</dc:creator>
  <cp:lastModifiedBy>Sandra V. Misevicius</cp:lastModifiedBy>
  <dcterms:created xsi:type="dcterms:W3CDTF">2026-03-17T20:10:01Z</dcterms:created>
  <dcterms:modified xsi:type="dcterms:W3CDTF">2026-03-31T18:15:49Z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0x010100869B3B764AE04C4ABD46E308924152EC</vt:lpwstr>
  </property>
  <property fmtid="{D5CDD505-2E9C-101B-9397-08002B2CF9AE}" pid="3" name="MediaServiceImageTags">
    <vt:lpwstr/>
  </property>
</Properties>
</file>